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ntory" sheetId="1" state="visible" r:id="rId3"/>
    <sheet name="Data_Sources" sheetId="2" state="visible" r:id="rId4"/>
    <sheet name="Lineage_Edges" sheetId="3" state="visible" r:id="rId5"/>
    <sheet name="Gap_Summary" sheetId="4" state="visible" r:id="rId6"/>
    <sheet name="Data_Diction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<sst xmlns="http://schemas.openxmlformats.org/spreadsheetml/2006/main" count="1970" uniqueCount="609">
  <si>
    <t xml:space="preserve">AI System Inventory</t>
  </si>
  <si>
    <t xml:space="preserve">Blended inventory: entries adapted and de-identified from an institutional AI service inventory together with additional synthetic entries created for this project. The two are not distinguished. Unit names are generalised, descriptions are written at use-case level, and compliance attestations, review dates, stewardship and data-quality tags are illustrative. No institution, customer or individual is identified.</t>
  </si>
  <si>
    <t xml:space="preserve">SYS_ID</t>
  </si>
  <si>
    <t xml:space="preserve">System_Name</t>
  </si>
  <si>
    <t xml:space="preserve">System_Purpose</t>
  </si>
  <si>
    <t xml:space="preserve">Data_Inputs</t>
  </si>
  <si>
    <t xml:space="preserve">Automated_Decision</t>
  </si>
  <si>
    <t xml:space="preserve">Personal_Data</t>
  </si>
  <si>
    <t xml:space="preserve">Risk_Level</t>
  </si>
  <si>
    <t xml:space="preserve">Business_Owner</t>
  </si>
  <si>
    <t xml:space="preserve">Technical_Owner</t>
  </si>
  <si>
    <t xml:space="preserve">Data_Steward</t>
  </si>
  <si>
    <t xml:space="preserve">Steward_Status</t>
  </si>
  <si>
    <t xml:space="preserve">Deployment_Env</t>
  </si>
  <si>
    <t xml:space="preserve">Last_Audit_Date</t>
  </si>
  <si>
    <t xml:space="preserve">Lineage_Status</t>
  </si>
  <si>
    <t xml:space="preserve">DQ_Regime</t>
  </si>
  <si>
    <t xml:space="preserve">Impact_Assessment</t>
  </si>
  <si>
    <t xml:space="preserve">Human_Oversight</t>
  </si>
  <si>
    <t xml:space="preserve">Verification_Validation</t>
  </si>
  <si>
    <t xml:space="preserve">Technical_Doc</t>
  </si>
  <si>
    <t xml:space="preserve">Event_Logging</t>
  </si>
  <si>
    <t xml:space="preserve">Incident_Plan</t>
  </si>
  <si>
    <t xml:space="preserve">User_Transparency</t>
  </si>
  <si>
    <t xml:space="preserve">Intended_Use_Doc</t>
  </si>
  <si>
    <t xml:space="preserve">SYS-001</t>
  </si>
  <si>
    <t xml:space="preserve">Card Transaction Fraud Scoring</t>
  </si>
  <si>
    <t xml:space="preserve">Real-time fraud likelihood scoring for card transactions; the score is consumed as a parameter by the fraud decision module</t>
  </si>
  <si>
    <t xml:space="preserve">DS-TXN-CARD; DS-CUST-MASTER; DS-DWH</t>
  </si>
  <si>
    <t xml:space="preserve">Y</t>
  </si>
  <si>
    <t xml:space="preserve">High</t>
  </si>
  <si>
    <t xml:space="preserve">Payment Systems Operations - Fraud Service</t>
  </si>
  <si>
    <t xml:space="preserve">AI Solutions - Fraud Analytics</t>
  </si>
  <si>
    <t xml:space="preserve">Payments Data Steward</t>
  </si>
  <si>
    <t xml:space="preserve">assigned</t>
  </si>
  <si>
    <t xml:space="preserve">On-Prem</t>
  </si>
  <si>
    <t xml:space="preserve">complete</t>
  </si>
  <si>
    <t xml:space="preserve">present</t>
  </si>
  <si>
    <t xml:space="preserve">human-in-the-loop</t>
  </si>
  <si>
    <t xml:space="preserve">SYS-002</t>
  </si>
  <si>
    <t xml:space="preserve">ATM Withdrawal Fraud Scoring</t>
  </si>
  <si>
    <t xml:space="preserve">Real-time fraud likelihood scoring for ATM cash-withdrawal transactions</t>
  </si>
  <si>
    <t xml:space="preserve">DS-TXN-ATM; DS-CUST-MASTER; DS-DWH</t>
  </si>
  <si>
    <t xml:space="preserve">SYS-003</t>
  </si>
  <si>
    <t xml:space="preserve">Digital Channel Transfer Fraud Scoring</t>
  </si>
  <si>
    <t xml:space="preserve">Real-time fraud scoring of transfer and EFT transactions initiated through internet and mobile banking</t>
  </si>
  <si>
    <t xml:space="preserve">DS-TXN-EFT; DS-CUST-MASTER; DS-DWH</t>
  </si>
  <si>
    <t xml:space="preserve">N</t>
  </si>
  <si>
    <t xml:space="preserve">SYS-004</t>
  </si>
  <si>
    <t xml:space="preserve">Retail Credit Scoring Engine</t>
  </si>
  <si>
    <t xml:space="preserve">Scores retail and SME financing applications to support approval decisions</t>
  </si>
  <si>
    <t xml:space="preserve">DS-CUST-MASTER; DS-CREDIT-BUREAU; DS-DWH</t>
  </si>
  <si>
    <t xml:space="preserve">Retail Banking Directorate</t>
  </si>
  <si>
    <t xml:space="preserve">AI Solutions - Predictive Analytics</t>
  </si>
  <si>
    <t xml:space="preserve">Retail Data Steward</t>
  </si>
  <si>
    <t xml:space="preserve">SYS-005</t>
  </si>
  <si>
    <t xml:space="preserve">Credit Card Limit Prediction</t>
  </si>
  <si>
    <t xml:space="preserve">Predicts credit card limits for salaried customers from financial behaviour and income indicators</t>
  </si>
  <si>
    <t xml:space="preserve">DS-CUST-MASTER; DS-PAYROLL; DS-CREDIT-BUREAU</t>
  </si>
  <si>
    <t xml:space="preserve">Retail and Micro Loans Directorate</t>
  </si>
  <si>
    <t xml:space="preserve">SYS-006</t>
  </si>
  <si>
    <t xml:space="preserve">AML Transaction Monitoring</t>
  </si>
  <si>
    <t xml:space="preserve">Flags potentially suspicious transaction patterns for analyst review under the AML programme</t>
  </si>
  <si>
    <t xml:space="preserve">DS-TXN-CARD; DS-TXN-EFT; DS-CUST-MASTER; DS-SANCTIONS</t>
  </si>
  <si>
    <t xml:space="preserve">Regulatory Compliance - AML</t>
  </si>
  <si>
    <t xml:space="preserve">Compliance Data Steward</t>
  </si>
  <si>
    <t xml:space="preserve">human-on-the-loop</t>
  </si>
  <si>
    <t xml:space="preserve">SYS-007</t>
  </si>
  <si>
    <t xml:space="preserve">Cross-Region ATM Anomaly Detection</t>
  </si>
  <si>
    <t xml:space="preserve">Detects repeated withdrawals across distant regions under a single identity and refers cases to compliance</t>
  </si>
  <si>
    <t xml:space="preserve">DS-TXN-ATM; DS-CUST-MASTER</t>
  </si>
  <si>
    <t xml:space="preserve">partial</t>
  </si>
  <si>
    <t xml:space="preserve">SYS-008</t>
  </si>
  <si>
    <t xml:space="preserve">Individual Collections Prediction</t>
  </si>
  <si>
    <t xml:space="preserve">Predicts which overdue individual customers will remain unpaid for 30 days; batch scores feed the collections module</t>
  </si>
  <si>
    <t xml:space="preserve">DS-COLLECTION-LOG; DS-CUST-MASTER; DS-DWH</t>
  </si>
  <si>
    <t xml:space="preserve">Collections Directorate</t>
  </si>
  <si>
    <t xml:space="preserve">(collections lead)</t>
  </si>
  <si>
    <t xml:space="preserve">de_facto</t>
  </si>
  <si>
    <t xml:space="preserve">SYS-009</t>
  </si>
  <si>
    <t xml:space="preserve">Loan Default Early Warning</t>
  </si>
  <si>
    <t xml:space="preserve">Advisory risk scoring across the existing loan book to flag deteriorating exposures</t>
  </si>
  <si>
    <t xml:space="preserve">DS-DWH; DS-CREDIT-BUREAU; DS-MACRO-FEED</t>
  </si>
  <si>
    <t xml:space="preserve">Risk Management Directorate</t>
  </si>
  <si>
    <t xml:space="preserve">Risk Data Steward</t>
  </si>
  <si>
    <t xml:space="preserve">SYS-010</t>
  </si>
  <si>
    <t xml:space="preserve">Identity Photo Watchlist Similarity</t>
  </si>
  <si>
    <t xml:space="preserve">Compares a new customer identity photo against watchlisted identity photos and returns a distance score</t>
  </si>
  <si>
    <t xml:space="preserve">DS-DOC-ID; DS-WATCHLIST-PHOTO</t>
  </si>
  <si>
    <t xml:space="preserve">Data Governance Service</t>
  </si>
  <si>
    <t xml:space="preserve">AI Solutions - Computer Vision</t>
  </si>
  <si>
    <t xml:space="preserve">Data Governance Steward</t>
  </si>
  <si>
    <t xml:space="preserve">SYS-011</t>
  </si>
  <si>
    <t xml:space="preserve">Sensitive Field Redaction on ID Documents</t>
  </si>
  <si>
    <t xml:space="preserve">Redacts religion and blood-group fields (special-category data) on identity and driving-licence images</t>
  </si>
  <si>
    <t xml:space="preserve">DS-DOC-ID</t>
  </si>
  <si>
    <t xml:space="preserve">SYS-012</t>
  </si>
  <si>
    <t xml:space="preserve">Customer Churn Prediction</t>
  </si>
  <si>
    <t xml:space="preserve">Monthly churn propensity score for all customers, written to the data warehouse for downstream use</t>
  </si>
  <si>
    <t xml:space="preserve">DS-DWH-MARKETING; DS-CUST-MASTER</t>
  </si>
  <si>
    <t xml:space="preserve">Medium</t>
  </si>
  <si>
    <t xml:space="preserve">Marketing - CRM Service</t>
  </si>
  <si>
    <t xml:space="preserve">(CRM analyst lead)</t>
  </si>
  <si>
    <t xml:space="preserve">SYS-013</t>
  </si>
  <si>
    <t xml:space="preserve">Product Propensity Models</t>
  </si>
  <si>
    <t xml:space="preserve">Monthly propensity scores for product take-up and attrition across retail, micro and corporate products</t>
  </si>
  <si>
    <t xml:space="preserve">(unassigned)</t>
  </si>
  <si>
    <t xml:space="preserve">unassigned</t>
  </si>
  <si>
    <t xml:space="preserve">absent</t>
  </si>
  <si>
    <t xml:space="preserve">SYS-014</t>
  </si>
  <si>
    <t xml:space="preserve">Behavioural Customer Segmentation</t>
  </si>
  <si>
    <t xml:space="preserve">Segments retail and corporate customers by product, channel and asset behaviour; monthly batch service</t>
  </si>
  <si>
    <t xml:space="preserve">Digital Marketing and Sales</t>
  </si>
  <si>
    <t xml:space="preserve">SYS-015</t>
  </si>
  <si>
    <t xml:space="preserve">Marketing Campaign Optimiser</t>
  </si>
  <si>
    <t xml:space="preserve">Selects target segments and channels for outbound campaigns automatically</t>
  </si>
  <si>
    <t xml:space="preserve">DS-DWH-MARKETING; DS-CAMPAIGN-HIST</t>
  </si>
  <si>
    <t xml:space="preserve">none</t>
  </si>
  <si>
    <t xml:space="preserve">SYS-016</t>
  </si>
  <si>
    <t xml:space="preserve">Survey Free-Text Categorisation</t>
  </si>
  <si>
    <t xml:space="preserve">Classifies open-ended customer survey responses into six experience categories; daily batch</t>
  </si>
  <si>
    <t xml:space="preserve">DS-SURVEY-TEXT</t>
  </si>
  <si>
    <t xml:space="preserve">Low</t>
  </si>
  <si>
    <t xml:space="preserve">AI Solutions - NLP</t>
  </si>
  <si>
    <t xml:space="preserve">SYS-017</t>
  </si>
  <si>
    <t xml:space="preserve">Automated Complaint Categorisation</t>
  </si>
  <si>
    <t xml:space="preserve">Classifies incoming complaint texts by topic and routes them to the responsible unit in real time</t>
  </si>
  <si>
    <t xml:space="preserve">DS-COMPLAINT-TEXT</t>
  </si>
  <si>
    <t xml:space="preserve">Payment Systems Operations - Customer Experience</t>
  </si>
  <si>
    <t xml:space="preserve">Customer Experience Steward</t>
  </si>
  <si>
    <t xml:space="preserve">SYS-018</t>
  </si>
  <si>
    <t xml:space="preserve">Call Centre Speech Analytics</t>
  </si>
  <si>
    <t xml:space="preserve">Sentiment and compliance-keyword detection over recorded customer calls</t>
  </si>
  <si>
    <t xml:space="preserve">DS-CALL-REC; DS-CUST-MASTER</t>
  </si>
  <si>
    <t xml:space="preserve">SYS-019</t>
  </si>
  <si>
    <t xml:space="preserve">Multilingual Virtual Assistant</t>
  </si>
  <si>
    <t xml:space="preserve">Question-answering assistant for the mobile app and topic-specific channels in Turkish, English and Arabic</t>
  </si>
  <si>
    <t xml:space="preserve">DS-FAQ-KB; DS-CUST-MASTER</t>
  </si>
  <si>
    <t xml:space="preserve">R&amp;D Directorate</t>
  </si>
  <si>
    <t xml:space="preserve">AI Solutions - Conversational AI</t>
  </si>
  <si>
    <t xml:space="preserve">(R&amp;D lead)</t>
  </si>
  <si>
    <t xml:space="preserve">SYS-020</t>
  </si>
  <si>
    <t xml:space="preserve">Cheque Signature Presence Detection</t>
  </si>
  <si>
    <t xml:space="preserve">Detects the presence or absence of drawer signatures on cheque images</t>
  </si>
  <si>
    <t xml:space="preserve">DS-DOC-CHEQUE</t>
  </si>
  <si>
    <t xml:space="preserve">Banking Services Operations</t>
  </si>
  <si>
    <t xml:space="preserve">Banking Ops Steward</t>
  </si>
  <si>
    <t xml:space="preserve">SYS-021</t>
  </si>
  <si>
    <t xml:space="preserve">Signature Verification Against Circulars</t>
  </si>
  <si>
    <t xml:space="preserve">Matches each signature on an instruction document to the customer signature circular and returns similarity scores</t>
  </si>
  <si>
    <t xml:space="preserve">DS-DOC-INSTRUCTION; DS-SIGNATURE-CIRCULAR</t>
  </si>
  <si>
    <t xml:space="preserve">SYS-022</t>
  </si>
  <si>
    <t xml:space="preserve">Identity Document Entity Extraction</t>
  </si>
  <si>
    <t xml:space="preserve">Extracts requested fields from four identity document types using detection and OCR</t>
  </si>
  <si>
    <t xml:space="preserve">SYS-023</t>
  </si>
  <si>
    <t xml:space="preserve">Cheque Entity Extraction</t>
  </si>
  <si>
    <t xml:space="preserve">Extracts amount, currency and party fields from local and foreign-currency cheques via detection and OCR</t>
  </si>
  <si>
    <t xml:space="preserve">SYS-024</t>
  </si>
  <si>
    <t xml:space="preserve">Trade Finance Document Entity Extraction</t>
  </si>
  <si>
    <t xml:space="preserve">Extracts invoice, bank and SWIFT fields from import, letter-of-credit and fund-transfer request forms</t>
  </si>
  <si>
    <t xml:space="preserve">DS-DOC-TRADE</t>
  </si>
  <si>
    <t xml:space="preserve">Trade Finance Operations</t>
  </si>
  <si>
    <t xml:space="preserve">(trade ops lead)</t>
  </si>
  <si>
    <t xml:space="preserve">SYS-025</t>
  </si>
  <si>
    <t xml:space="preserve">Registered E-Mail Document Classification</t>
  </si>
  <si>
    <t xml:space="preserve">Classifies registered e-mail (KEP) documents into legal action categories and extracts requested fields</t>
  </si>
  <si>
    <t xml:space="preserve">DS-DOC-KEP</t>
  </si>
  <si>
    <t xml:space="preserve">SYS-026</t>
  </si>
  <si>
    <t xml:space="preserve">Mortgage Document Entity Extraction</t>
  </si>
  <si>
    <t xml:space="preserve">Extracts entry number and date fields from real-estate mortgage documents</t>
  </si>
  <si>
    <t xml:space="preserve">DS-MORTGAGE-DOC</t>
  </si>
  <si>
    <t xml:space="preserve">Credit Operations and Collateral Management</t>
  </si>
  <si>
    <t xml:space="preserve">(credit ops lead)</t>
  </si>
  <si>
    <t xml:space="preserve">SYS-027</t>
  </si>
  <si>
    <t xml:space="preserve">Financial Statement PDF Digitisation</t>
  </si>
  <si>
    <t xml:space="preserve">Converts PDF trial balances and financial statements into structured spreadsheets for credit assessment</t>
  </si>
  <si>
    <t xml:space="preserve">DS-DOC-FINSTMT</t>
  </si>
  <si>
    <t xml:space="preserve">Commercial Loans Directorate</t>
  </si>
  <si>
    <t xml:space="preserve">(commercial loans lead)</t>
  </si>
  <si>
    <t xml:space="preserve">SYS-028</t>
  </si>
  <si>
    <t xml:space="preserve">Contract Text Template Matching</t>
  </si>
  <si>
    <t xml:space="preserve">Matches customer-supplied special text requests to registered contract templates using nightly-refreshed embeddings</t>
  </si>
  <si>
    <t xml:space="preserve">DS-TEXT-TEMPLATE; DS-DOC-INSTRUCTION</t>
  </si>
  <si>
    <t xml:space="preserve">SYS-029</t>
  </si>
  <si>
    <t xml:space="preserve">Commercial Financing Pricing Model</t>
  </si>
  <si>
    <t xml:space="preserve">Regression model estimating cash financing prices, used on the commercial pricing screens</t>
  </si>
  <si>
    <t xml:space="preserve">DS-PRICING-HIST; DS-DWH</t>
  </si>
  <si>
    <t xml:space="preserve">Pricing Service</t>
  </si>
  <si>
    <t xml:space="preserve">Pricing Data Steward</t>
  </si>
  <si>
    <t xml:space="preserve">SYS-030</t>
  </si>
  <si>
    <t xml:space="preserve">Guarantee Letter Pricing Model</t>
  </si>
  <si>
    <t xml:space="preserve">Regression model estimating guarantee-letter commission rates, used on the guarantee pricing screens</t>
  </si>
  <si>
    <t xml:space="preserve">SYS-031</t>
  </si>
  <si>
    <t xml:space="preserve">Corporate Media Intelligence Screening</t>
  </si>
  <si>
    <t xml:space="preserve">Scans local and national news, identifies corporate entities and classifies articles for intelligence reporting</t>
  </si>
  <si>
    <t xml:space="preserve">DS-NEWS-FEED; DS-CUST-MASTER</t>
  </si>
  <si>
    <t xml:space="preserve">Corporate Intelligence Directorate</t>
  </si>
  <si>
    <t xml:space="preserve">(intelligence lead)</t>
  </si>
  <si>
    <t xml:space="preserve">SYS-032</t>
  </si>
  <si>
    <t xml:space="preserve">QR and DataMatrix Code Reading Service</t>
  </si>
  <si>
    <t xml:space="preserve">Detects and reads QR and DataMatrix codes embedded in documents; integration-ready shared service</t>
  </si>
  <si>
    <t xml:space="preserve">DS-DOC-SHARED</t>
  </si>
  <si>
    <t xml:space="preserve">Business Excellence and Innovation</t>
  </si>
  <si>
    <t xml:space="preserve">Platform Steward</t>
  </si>
  <si>
    <t xml:space="preserve">SYS-033</t>
  </si>
  <si>
    <t xml:space="preserve">On-Premises OCR Platform Service</t>
  </si>
  <si>
    <t xml:space="preserve">Shared containerised OCR service providing document text extraction to other AI systems</t>
  </si>
  <si>
    <t xml:space="preserve">AI Solutions - Platform</t>
  </si>
  <si>
    <t xml:space="preserve">SYS-034</t>
  </si>
  <si>
    <t xml:space="preserve">Branch Cash Demand Forecast</t>
  </si>
  <si>
    <t xml:space="preserve">Forecasts ATM and branch cash replenishment requirements</t>
  </si>
  <si>
    <t xml:space="preserve">DS-CASH-LOG; DS-CALENDAR; DS-MACRO-FEED</t>
  </si>
  <si>
    <t xml:space="preserve">Branch Operations</t>
  </si>
  <si>
    <t xml:space="preserve">(ops planning lead)</t>
  </si>
  <si>
    <t xml:space="preserve">SYS-035</t>
  </si>
  <si>
    <t xml:space="preserve">CV Screening Support</t>
  </si>
  <si>
    <t xml:space="preserve">Ranks job applicants against role requirements to support recruitment shortlisting</t>
  </si>
  <si>
    <t xml:space="preserve">DS-HR-APPLICANT</t>
  </si>
  <si>
    <t xml:space="preserve">Human Resources Directorate</t>
  </si>
  <si>
    <t xml:space="preserve">SYS-036</t>
  </si>
  <si>
    <t xml:space="preserve">Voice Biometrics Authentication</t>
  </si>
  <si>
    <t xml:space="preserve">Authenticates customers in the call centre and mobile channel from voiceprints; an accepted match completes authentication automatically</t>
  </si>
  <si>
    <t xml:space="preserve">DS-VOICEPRINT; DS-CALL-REC; DS-CUST-MASTER</t>
  </si>
  <si>
    <t xml:space="preserve">Digital Channels Directorate</t>
  </si>
  <si>
    <t xml:space="preserve">Identity Data Steward</t>
  </si>
  <si>
    <t xml:space="preserve">SYS-037</t>
  </si>
  <si>
    <t xml:space="preserve">Robo-Advisory Portfolio Recommendation</t>
  </si>
  <si>
    <t xml:space="preserve">Generates investment portfolio recommendations from customer risk profile and holdings, presented directly to the customer</t>
  </si>
  <si>
    <t xml:space="preserve">DS-CUST-MASTER; DS-PORTFOLIO; DS-MARKET-FEED</t>
  </si>
  <si>
    <t xml:space="preserve">Wealth Management Directorate</t>
  </si>
  <si>
    <t xml:space="preserve">SYS-038</t>
  </si>
  <si>
    <t xml:space="preserve">Credit Memo Generative Summarisation</t>
  </si>
  <si>
    <t xml:space="preserve">Large-language-model service drafting credit assessment memoranda from financial statements, intelligence reports and account history for analyst review</t>
  </si>
  <si>
    <t xml:space="preserve">DS-DOC-FINSTMT; DS-DWH; DS-NEWS-FEED</t>
  </si>
  <si>
    <t xml:space="preserve">AI Solutions - Generative AI</t>
  </si>
  <si>
    <t xml:space="preserve">Credit Data Steward</t>
  </si>
  <si>
    <t xml:space="preserve">SYS-039</t>
  </si>
  <si>
    <t xml:space="preserve">Internal Knowledge Assistant</t>
  </si>
  <si>
    <t xml:space="preserve">Retrieval-augmented assistant answering staff questions over internal policies, procedures and product rules with cited sources</t>
  </si>
  <si>
    <t xml:space="preserve">DS-POLICY-CORPUS; DS-FAQ-KB</t>
  </si>
  <si>
    <t xml:space="preserve">Knowledge Steward</t>
  </si>
  <si>
    <t xml:space="preserve">SYS-040</t>
  </si>
  <si>
    <t xml:space="preserve">Real-Time Transaction Categorisation</t>
  </si>
  <si>
    <t xml:space="preserve">Classifies customer transactions into spending categories in real time to power personal financial management features</t>
  </si>
  <si>
    <t xml:space="preserve">DS-TXN-CARD; DS-TXN-EFT; DS-CUST-MASTER</t>
  </si>
  <si>
    <t xml:space="preserve">(digital lead)</t>
  </si>
  <si>
    <t xml:space="preserve">SYS-041</t>
  </si>
  <si>
    <t xml:space="preserve">Customer Lifetime Value Prediction</t>
  </si>
  <si>
    <t xml:space="preserve">Predicts customer lifetime value to prioritise relationship management and pricing decisions</t>
  </si>
  <si>
    <t xml:space="preserve">DS-DWH-MARKETING; DS-CUST-MASTER; DS-PORTFOLIO</t>
  </si>
  <si>
    <t xml:space="preserve">SYS-042</t>
  </si>
  <si>
    <t xml:space="preserve">Insider Risk Behaviour Analytics</t>
  </si>
  <si>
    <t xml:space="preserve">Detects anomalous employee access and transaction behaviour and refers cases to investigation</t>
  </si>
  <si>
    <t xml:space="preserve">DS-EMP-ACCESS-LOG; DS-TXN-CARD</t>
  </si>
  <si>
    <t xml:space="preserve">Information Security Directorate</t>
  </si>
  <si>
    <t xml:space="preserve">Security Data Steward</t>
  </si>
  <si>
    <t xml:space="preserve">SYS-043</t>
  </si>
  <si>
    <t xml:space="preserve">Model Drift Monitoring Platform</t>
  </si>
  <si>
    <t xml:space="preserve">Monitors production model performance, input drift and stability across the AI estate and raises alerts to technical owners</t>
  </si>
  <si>
    <t xml:space="preserve">DS-MODEL-TELEMETRY; DS-DWH</t>
  </si>
  <si>
    <t xml:space="preserve">Data Management and Analytics Directorate</t>
  </si>
  <si>
    <t xml:space="preserve">SYS-044</t>
  </si>
  <si>
    <t xml:space="preserve">Synthetic Data Generation Service</t>
  </si>
  <si>
    <t xml:space="preserve">Generates privacy-preserving synthetic datasets from production data for model development and testing</t>
  </si>
  <si>
    <t xml:space="preserve">DS-DWH; DS-CUST-MASTER</t>
  </si>
  <si>
    <t xml:space="preserve">Data Sources</t>
  </si>
  <si>
    <t xml:space="preserve">Source_ID</t>
  </si>
  <si>
    <t xml:space="preserve">Source_Name</t>
  </si>
  <si>
    <t xml:space="preserve">Source_Type</t>
  </si>
  <si>
    <t xml:space="preserve">Contains_Personal_Data</t>
  </si>
  <si>
    <t xml:space="preserve">Source_Owner</t>
  </si>
  <si>
    <t xml:space="preserve">Notes</t>
  </si>
  <si>
    <t xml:space="preserve">DS-CUST-MASTER</t>
  </si>
  <si>
    <t xml:space="preserve">Customer Master</t>
  </si>
  <si>
    <t xml:space="preserve">Internal DB</t>
  </si>
  <si>
    <t xml:space="preserve">Golden customer record; KVKK personal data.</t>
  </si>
  <si>
    <t xml:space="preserve">DS-DWH</t>
  </si>
  <si>
    <t xml:space="preserve">Enterprise Data Warehouse</t>
  </si>
  <si>
    <t xml:space="preserve">Shared analytical layer.</t>
  </si>
  <si>
    <t xml:space="preserve">DS-DWH-MARKETING</t>
  </si>
  <si>
    <t xml:space="preserve">Marketing Datamart</t>
  </si>
  <si>
    <t xml:space="preserve">Marketing analytical datamart.</t>
  </si>
  <si>
    <t xml:space="preserve">DS-TXN-CARD</t>
  </si>
  <si>
    <t xml:space="preserve">Card Transaction Stream</t>
  </si>
  <si>
    <t xml:space="preserve">Streaming</t>
  </si>
  <si>
    <t xml:space="preserve">Payment Systems Operations</t>
  </si>
  <si>
    <t xml:space="preserve">Real-time card authorisations.</t>
  </si>
  <si>
    <t xml:space="preserve">DS-TXN-ATM</t>
  </si>
  <si>
    <t xml:space="preserve">ATM Transaction Stream</t>
  </si>
  <si>
    <t xml:space="preserve">ATM withdrawal events.</t>
  </si>
  <si>
    <t xml:space="preserve">DS-TXN-EFT</t>
  </si>
  <si>
    <t xml:space="preserve">Transfer / EFT Stream</t>
  </si>
  <si>
    <t xml:space="preserve">Internet and mobile transfers.</t>
  </si>
  <si>
    <t xml:space="preserve">DS-SANCTIONS</t>
  </si>
  <si>
    <t xml:space="preserve">Sanctions and Watchlist Feed</t>
  </si>
  <si>
    <t xml:space="preserve">External API</t>
  </si>
  <si>
    <t xml:space="preserve">Externally maintained lists.</t>
  </si>
  <si>
    <t xml:space="preserve">DS-COLLECTION-LOG</t>
  </si>
  <si>
    <t xml:space="preserve">Collections Activity Log</t>
  </si>
  <si>
    <t xml:space="preserve">Overdue and contact records.</t>
  </si>
  <si>
    <t xml:space="preserve">DS-CREDIT-BUREAU</t>
  </si>
  <si>
    <t xml:space="preserve">Credit Bureau Feed</t>
  </si>
  <si>
    <t xml:space="preserve">Third-party bureau data.</t>
  </si>
  <si>
    <t xml:space="preserve">DS-PAYROLL</t>
  </si>
  <si>
    <t xml:space="preserve">Payroll / Income Records</t>
  </si>
  <si>
    <t xml:space="preserve">Salary-customer income data.</t>
  </si>
  <si>
    <t xml:space="preserve">DS-MACRO-FEED</t>
  </si>
  <si>
    <t xml:space="preserve">Macroeconomic Indicators</t>
  </si>
  <si>
    <t xml:space="preserve">Rates and indices.</t>
  </si>
  <si>
    <t xml:space="preserve">Identity Document Store</t>
  </si>
  <si>
    <t xml:space="preserve">Document Store</t>
  </si>
  <si>
    <t xml:space="preserve">ID, licence, residence permit, passport images.</t>
  </si>
  <si>
    <t xml:space="preserve">DS-WATCHLIST-PHOTO</t>
  </si>
  <si>
    <t xml:space="preserve">Watchlist Photo Repository</t>
  </si>
  <si>
    <t xml:space="preserve">Biometric reference images; special category.</t>
  </si>
  <si>
    <t xml:space="preserve">Cheque Image Store</t>
  </si>
  <si>
    <t xml:space="preserve">Local and FX cheque images.</t>
  </si>
  <si>
    <t xml:space="preserve">DS-DOC-INSTRUCTION</t>
  </si>
  <si>
    <t xml:space="preserve">Customer Instruction Documents</t>
  </si>
  <si>
    <t xml:space="preserve">Signed transfer and FX instructions.</t>
  </si>
  <si>
    <t xml:space="preserve">DS-SIGNATURE-CIRCULAR</t>
  </si>
  <si>
    <t xml:space="preserve">Signature Circulars</t>
  </si>
  <si>
    <t xml:space="preserve">Customer signature declarations.</t>
  </si>
  <si>
    <t xml:space="preserve">DS-DOC-NOTE</t>
  </si>
  <si>
    <t xml:space="preserve">Promissory Note Store</t>
  </si>
  <si>
    <t xml:space="preserve">Loans Operations</t>
  </si>
  <si>
    <t xml:space="preserve">Note documents; no formal DQ regime.</t>
  </si>
  <si>
    <t xml:space="preserve">Trade Finance Document Store</t>
  </si>
  <si>
    <t xml:space="preserve">Import, LC and fund transfer forms.</t>
  </si>
  <si>
    <t xml:space="preserve">Registered E-Mail (KEP) Store</t>
  </si>
  <si>
    <t xml:space="preserve">Legal correspondence; ad-hoc quality.</t>
  </si>
  <si>
    <t xml:space="preserve">Mortgage Document Store</t>
  </si>
  <si>
    <t xml:space="preserve">Real-estate mortgage documents.</t>
  </si>
  <si>
    <t xml:space="preserve">Financial Statement Documents</t>
  </si>
  <si>
    <t xml:space="preserve">PDF trial balances and statements.</t>
  </si>
  <si>
    <t xml:space="preserve">DS-TEXT-TEMPLATE</t>
  </si>
  <si>
    <t xml:space="preserve">Contract Text Template Library</t>
  </si>
  <si>
    <t xml:space="preserve">Registered special-text templates.</t>
  </si>
  <si>
    <t xml:space="preserve">Customer Survey Responses</t>
  </si>
  <si>
    <t xml:space="preserve">Open-ended survey text.</t>
  </si>
  <si>
    <t xml:space="preserve">Complaint Text Store</t>
  </si>
  <si>
    <t xml:space="preserve">Complaint free text.</t>
  </si>
  <si>
    <t xml:space="preserve">DS-CALL-REC</t>
  </si>
  <si>
    <t xml:space="preserve">Call Recordings</t>
  </si>
  <si>
    <t xml:space="preserve">Voice recordings; no structured DQ.</t>
  </si>
  <si>
    <t xml:space="preserve">DS-FAQ-KB</t>
  </si>
  <si>
    <t xml:space="preserve">Assistant Knowledge Base</t>
  </si>
  <si>
    <t xml:space="preserve">Curated multilingual FAQ content.</t>
  </si>
  <si>
    <t xml:space="preserve">DS-NEWS-FEED</t>
  </si>
  <si>
    <t xml:space="preserve">News and Media Feed</t>
  </si>
  <si>
    <t xml:space="preserve">Local and national news sources.</t>
  </si>
  <si>
    <t xml:space="preserve">DS-CAMPAIGN-HIST</t>
  </si>
  <si>
    <t xml:space="preserve">Campaign History</t>
  </si>
  <si>
    <t xml:space="preserve">Past campaign responses.</t>
  </si>
  <si>
    <t xml:space="preserve">DS-PRICING-HIST</t>
  </si>
  <si>
    <t xml:space="preserve">Pricing History</t>
  </si>
  <si>
    <t xml:space="preserve">Historical pricing records.</t>
  </si>
  <si>
    <t xml:space="preserve">DS-CASH-LOG</t>
  </si>
  <si>
    <t xml:space="preserve">ATM / Branch Cash Log</t>
  </si>
  <si>
    <t xml:space="preserve">Cash movement records.</t>
  </si>
  <si>
    <t xml:space="preserve">DS-CALENDAR</t>
  </si>
  <si>
    <t xml:space="preserve">Business Calendar</t>
  </si>
  <si>
    <t xml:space="preserve">File Feed</t>
  </si>
  <si>
    <t xml:space="preserve">Holidays and paydays.</t>
  </si>
  <si>
    <t xml:space="preserve">Applicant Records</t>
  </si>
  <si>
    <t xml:space="preserve">CVs and applications; no DQ regime.</t>
  </si>
  <si>
    <t xml:space="preserve">Shared Document Intake</t>
  </si>
  <si>
    <t xml:space="preserve">Documents routed to shared OCR/QR services.</t>
  </si>
  <si>
    <t xml:space="preserve">DS-VOICEPRINT</t>
  </si>
  <si>
    <t xml:space="preserve">Voiceprint Repository</t>
  </si>
  <si>
    <t xml:space="preserve">Biometric voice templates; special category.</t>
  </si>
  <si>
    <t xml:space="preserve">DS-PORTFOLIO</t>
  </si>
  <si>
    <t xml:space="preserve">Customer Portfolio Holdings</t>
  </si>
  <si>
    <t xml:space="preserve">Holdings and risk profiles.</t>
  </si>
  <si>
    <t xml:space="preserve">DS-MARKET-FEED</t>
  </si>
  <si>
    <t xml:space="preserve">Market Data Feed</t>
  </si>
  <si>
    <t xml:space="preserve">Instrument prices and indices.</t>
  </si>
  <si>
    <t xml:space="preserve">DS-POLICY-CORPUS</t>
  </si>
  <si>
    <t xml:space="preserve">Internal Policy and Procedure Corpus</t>
  </si>
  <si>
    <t xml:space="preserve">Approved policies, procedures, product rules.</t>
  </si>
  <si>
    <t xml:space="preserve">DS-EMP-ACCESS-LOG</t>
  </si>
  <si>
    <t xml:space="preserve">Employee Access and Activity Log</t>
  </si>
  <si>
    <t xml:space="preserve">Staff access events; employee personal data.</t>
  </si>
  <si>
    <t xml:space="preserve">DS-MODEL-TELEMETRY</t>
  </si>
  <si>
    <t xml:space="preserve">Model Telemetry Store</t>
  </si>
  <si>
    <t xml:space="preserve">Production model performance and drift metrics.</t>
  </si>
  <si>
    <t xml:space="preserve">Structural Lineage Edge List (source -&gt; system -&gt; consumer)</t>
  </si>
  <si>
    <t xml:space="preserve">Systems with no documented consumer edge carry Lineage_Status = absent or partial.</t>
  </si>
  <si>
    <t xml:space="preserve">Edge_ID</t>
  </si>
  <si>
    <t xml:space="preserve">From_Node</t>
  </si>
  <si>
    <t xml:space="preserve">To_Node</t>
  </si>
  <si>
    <t xml:space="preserve">Edge_Type</t>
  </si>
  <si>
    <t xml:space="preserve">From_Type</t>
  </si>
  <si>
    <t xml:space="preserve">To_Type</t>
  </si>
  <si>
    <t xml:space="preserve">E001</t>
  </si>
  <si>
    <t xml:space="preserve">feeds</t>
  </si>
  <si>
    <t xml:space="preserve">data_source</t>
  </si>
  <si>
    <t xml:space="preserve">ai_system</t>
  </si>
  <si>
    <t xml:space="preserve">E002</t>
  </si>
  <si>
    <t xml:space="preserve">E003</t>
  </si>
  <si>
    <t xml:space="preserve">E004</t>
  </si>
  <si>
    <t xml:space="preserve">E005</t>
  </si>
  <si>
    <t xml:space="preserve">E006</t>
  </si>
  <si>
    <t xml:space="preserve">E007</t>
  </si>
  <si>
    <t xml:space="preserve">E008</t>
  </si>
  <si>
    <t xml:space="preserve">E009</t>
  </si>
  <si>
    <t xml:space="preserve">E010</t>
  </si>
  <si>
    <t xml:space="preserve">E011</t>
  </si>
  <si>
    <t xml:space="preserve">E012</t>
  </si>
  <si>
    <t xml:space="preserve">E013</t>
  </si>
  <si>
    <t xml:space="preserve">E014</t>
  </si>
  <si>
    <t xml:space="preserve">E015</t>
  </si>
  <si>
    <t xml:space="preserve">E016</t>
  </si>
  <si>
    <t xml:space="preserve">E017</t>
  </si>
  <si>
    <t xml:space="preserve">E018</t>
  </si>
  <si>
    <t xml:space="preserve">E019</t>
  </si>
  <si>
    <t xml:space="preserve">E020</t>
  </si>
  <si>
    <t xml:space="preserve">E021</t>
  </si>
  <si>
    <t xml:space="preserve">E022</t>
  </si>
  <si>
    <t xml:space="preserve">E023</t>
  </si>
  <si>
    <t xml:space="preserve">E024</t>
  </si>
  <si>
    <t xml:space="preserve">E025</t>
  </si>
  <si>
    <t xml:space="preserve">E026</t>
  </si>
  <si>
    <t xml:space="preserve">E027</t>
  </si>
  <si>
    <t xml:space="preserve">E028</t>
  </si>
  <si>
    <t xml:space="preserve">E029</t>
  </si>
  <si>
    <t xml:space="preserve">E030</t>
  </si>
  <si>
    <t xml:space="preserve">E031</t>
  </si>
  <si>
    <t xml:space="preserve">E032</t>
  </si>
  <si>
    <t xml:space="preserve">E033</t>
  </si>
  <si>
    <t xml:space="preserve">E034</t>
  </si>
  <si>
    <t xml:space="preserve">E035</t>
  </si>
  <si>
    <t xml:space="preserve">E036</t>
  </si>
  <si>
    <t xml:space="preserve">E037</t>
  </si>
  <si>
    <t xml:space="preserve">E038</t>
  </si>
  <si>
    <t xml:space="preserve">E039</t>
  </si>
  <si>
    <t xml:space="preserve">E040</t>
  </si>
  <si>
    <t xml:space="preserve">E041</t>
  </si>
  <si>
    <t xml:space="preserve">E042</t>
  </si>
  <si>
    <t xml:space="preserve">E043</t>
  </si>
  <si>
    <t xml:space="preserve">E044</t>
  </si>
  <si>
    <t xml:space="preserve">E045</t>
  </si>
  <si>
    <t xml:space="preserve">E046</t>
  </si>
  <si>
    <t xml:space="preserve">E047</t>
  </si>
  <si>
    <t xml:space="preserve">E048</t>
  </si>
  <si>
    <t xml:space="preserve">E049</t>
  </si>
  <si>
    <t xml:space="preserve">E050</t>
  </si>
  <si>
    <t xml:space="preserve">E051</t>
  </si>
  <si>
    <t xml:space="preserve">E052</t>
  </si>
  <si>
    <t xml:space="preserve">E053</t>
  </si>
  <si>
    <t xml:space="preserve">E054</t>
  </si>
  <si>
    <t xml:space="preserve">E055</t>
  </si>
  <si>
    <t xml:space="preserve">E056</t>
  </si>
  <si>
    <t xml:space="preserve">E057</t>
  </si>
  <si>
    <t xml:space="preserve">E058</t>
  </si>
  <si>
    <t xml:space="preserve">E059</t>
  </si>
  <si>
    <t xml:space="preserve">E060</t>
  </si>
  <si>
    <t xml:space="preserve">E061</t>
  </si>
  <si>
    <t xml:space="preserve">E062</t>
  </si>
  <si>
    <t xml:space="preserve">E063</t>
  </si>
  <si>
    <t xml:space="preserve">E064</t>
  </si>
  <si>
    <t xml:space="preserve">E065</t>
  </si>
  <si>
    <t xml:space="preserve">E066</t>
  </si>
  <si>
    <t xml:space="preserve">E067</t>
  </si>
  <si>
    <t xml:space="preserve">E068</t>
  </si>
  <si>
    <t xml:space="preserve">E069</t>
  </si>
  <si>
    <t xml:space="preserve">E070</t>
  </si>
  <si>
    <t xml:space="preserve">E071</t>
  </si>
  <si>
    <t xml:space="preserve">E072</t>
  </si>
  <si>
    <t xml:space="preserve">E073</t>
  </si>
  <si>
    <t xml:space="preserve">CONS-001</t>
  </si>
  <si>
    <t xml:space="preserve">consumed_by</t>
  </si>
  <si>
    <t xml:space="preserve">consumer</t>
  </si>
  <si>
    <t xml:space="preserve">E074</t>
  </si>
  <si>
    <t xml:space="preserve">CONS-002</t>
  </si>
  <si>
    <t xml:space="preserve">E075</t>
  </si>
  <si>
    <t xml:space="preserve">CONS-003</t>
  </si>
  <si>
    <t xml:space="preserve">E076</t>
  </si>
  <si>
    <t xml:space="preserve">CONS-004</t>
  </si>
  <si>
    <t xml:space="preserve">E077</t>
  </si>
  <si>
    <t xml:space="preserve">CONS-005</t>
  </si>
  <si>
    <t xml:space="preserve">E078</t>
  </si>
  <si>
    <t xml:space="preserve">CONS-006</t>
  </si>
  <si>
    <t xml:space="preserve">E079</t>
  </si>
  <si>
    <t xml:space="preserve">CONS-007</t>
  </si>
  <si>
    <t xml:space="preserve">E080</t>
  </si>
  <si>
    <t xml:space="preserve">CONS-008</t>
  </si>
  <si>
    <t xml:space="preserve">E081</t>
  </si>
  <si>
    <t xml:space="preserve">CONS-009</t>
  </si>
  <si>
    <t xml:space="preserve">E082</t>
  </si>
  <si>
    <t xml:space="preserve">CONS-010</t>
  </si>
  <si>
    <t xml:space="preserve">E083</t>
  </si>
  <si>
    <t xml:space="preserve">CONS-011</t>
  </si>
  <si>
    <t xml:space="preserve">E084</t>
  </si>
  <si>
    <t xml:space="preserve">CONS-012</t>
  </si>
  <si>
    <t xml:space="preserve">E085</t>
  </si>
  <si>
    <t xml:space="preserve">CONS-015</t>
  </si>
  <si>
    <t xml:space="preserve">E086</t>
  </si>
  <si>
    <t xml:space="preserve">CONS-016</t>
  </si>
  <si>
    <t xml:space="preserve">E087</t>
  </si>
  <si>
    <t xml:space="preserve">CONS-017</t>
  </si>
  <si>
    <t xml:space="preserve">E088</t>
  </si>
  <si>
    <t xml:space="preserve">CONS-019</t>
  </si>
  <si>
    <t xml:space="preserve">E089</t>
  </si>
  <si>
    <t xml:space="preserve">CONS-020</t>
  </si>
  <si>
    <t xml:space="preserve">E090</t>
  </si>
  <si>
    <t xml:space="preserve">CONS-021</t>
  </si>
  <si>
    <t xml:space="preserve">E091</t>
  </si>
  <si>
    <t xml:space="preserve">CONS-023</t>
  </si>
  <si>
    <t xml:space="preserve">E092</t>
  </si>
  <si>
    <t xml:space="preserve">CONS-024</t>
  </si>
  <si>
    <t xml:space="preserve">E093</t>
  </si>
  <si>
    <t xml:space="preserve">CONS-025</t>
  </si>
  <si>
    <t xml:space="preserve">E094</t>
  </si>
  <si>
    <t xml:space="preserve">CONS-026</t>
  </si>
  <si>
    <t xml:space="preserve">E095</t>
  </si>
  <si>
    <t xml:space="preserve">CONS-027</t>
  </si>
  <si>
    <t xml:space="preserve">E096</t>
  </si>
  <si>
    <t xml:space="preserve">CONS-028</t>
  </si>
  <si>
    <t xml:space="preserve">E097</t>
  </si>
  <si>
    <t xml:space="preserve">CONS-030</t>
  </si>
  <si>
    <t xml:space="preserve">E098</t>
  </si>
  <si>
    <t xml:space="preserve">CONS-031</t>
  </si>
  <si>
    <t xml:space="preserve">E099</t>
  </si>
  <si>
    <t xml:space="preserve">CONS-032</t>
  </si>
  <si>
    <t xml:space="preserve">E100</t>
  </si>
  <si>
    <t xml:space="preserve">CONS-033</t>
  </si>
  <si>
    <t xml:space="preserve">E101</t>
  </si>
  <si>
    <t xml:space="preserve">CONS-036</t>
  </si>
  <si>
    <t xml:space="preserve">E102</t>
  </si>
  <si>
    <t xml:space="preserve">CONS-037</t>
  </si>
  <si>
    <t xml:space="preserve">E103</t>
  </si>
  <si>
    <t xml:space="preserve">CONS-038</t>
  </si>
  <si>
    <t xml:space="preserve">Data-layer Gap Summary (live - recomputes from Inventory)</t>
  </si>
  <si>
    <t xml:space="preserve">Lineage / data-quality / stewardship / stale-audit findings. Control compliance is evaluated in the app.</t>
  </si>
  <si>
    <t xml:space="preserve">Reference date:</t>
  </si>
  <si>
    <t xml:space="preserve">Stale window (days):</t>
  </si>
  <si>
    <t xml:space="preserve">Lineage_Gap</t>
  </si>
  <si>
    <t xml:space="preserve">DQ_Gap</t>
  </si>
  <si>
    <t xml:space="preserve">Steward_Gap</t>
  </si>
  <si>
    <t xml:space="preserve">Stale_Audit</t>
  </si>
  <si>
    <t xml:space="preserve">Total_Gaps</t>
  </si>
  <si>
    <t xml:space="preserve">Priority</t>
  </si>
  <si>
    <t xml:space="preserve">Portfolio summary</t>
  </si>
  <si>
    <t xml:space="preserve">Systems</t>
  </si>
  <si>
    <t xml:space="preserve">P1-Critical</t>
  </si>
  <si>
    <t xml:space="preserve">Systems with &gt;=1 gap</t>
  </si>
  <si>
    <t xml:space="preserve">Lineage gaps</t>
  </si>
  <si>
    <t xml:space="preserve">DQ gaps</t>
  </si>
  <si>
    <t xml:space="preserve">Stewardship gaps</t>
  </si>
  <si>
    <t xml:space="preserve">Stale audits</t>
  </si>
  <si>
    <t xml:space="preserve">Data Dictionary &amp; Tag Vocabulary</t>
  </si>
  <si>
    <t xml:space="preserve">Sheet / Field</t>
  </si>
  <si>
    <t xml:space="preserve">Meaning</t>
  </si>
  <si>
    <t xml:space="preserve">Allowed values</t>
  </si>
  <si>
    <t xml:space="preserve">Inventory.SYS_ID</t>
  </si>
  <si>
    <t xml:space="preserve">Unique system identifier; key for RAG corpus indexing (Layer 5).</t>
  </si>
  <si>
    <t xml:space="preserve">SYS-NNN</t>
  </si>
  <si>
    <t xml:space="preserve">Inventory.Data_Inputs</t>
  </si>
  <si>
    <t xml:space="preserve">Named source IDs feeding the system; basis of structural lineage.</t>
  </si>
  <si>
    <t xml:space="preserve">Semicolon list of DS-* IDs</t>
  </si>
  <si>
    <t xml:space="preserve">Inventory.Automated_Decision</t>
  </si>
  <si>
    <t xml:space="preserve">Whether the system makes or materially drives automated decisions.</t>
  </si>
  <si>
    <t xml:space="preserve">Y / N</t>
  </si>
  <si>
    <t xml:space="preserve">Inventory.Personal_Data</t>
  </si>
  <si>
    <t xml:space="preserve">Whether personal data (KVKK/GDPR) is processed.</t>
  </si>
  <si>
    <t xml:space="preserve">Inventory.Risk_Level</t>
  </si>
  <si>
    <t xml:space="preserve">Assessed risk level; drives monitoring depth.</t>
  </si>
  <si>
    <t xml:space="preserve">Low / Medium / High</t>
  </si>
  <si>
    <t xml:space="preserve">Inventory.Business_Owner</t>
  </si>
  <si>
    <t xml:space="preserve">Accountable business unit.</t>
  </si>
  <si>
    <t xml:space="preserve">Unit name</t>
  </si>
  <si>
    <t xml:space="preserve">Inventory.Technical_Owner</t>
  </si>
  <si>
    <t xml:space="preserve">Accountable technical team (AI Solutions Directorate).</t>
  </si>
  <si>
    <t xml:space="preserve">Team name</t>
  </si>
  <si>
    <t xml:space="preserve">Inventory.Steward_Status</t>
  </si>
  <si>
    <t xml:space="preserve">DAMA Data Governance tag: is a data steward formally assigned? (A.3.2)</t>
  </si>
  <si>
    <t xml:space="preserve">assigned / de_facto / unassigned</t>
  </si>
  <si>
    <t xml:space="preserve">Inventory.Lineage_Status</t>
  </si>
  <si>
    <t xml:space="preserve">DAMA Metadata Management tag: documented lineage completeness (A.7.5).</t>
  </si>
  <si>
    <t xml:space="preserve">complete / partial / absent</t>
  </si>
  <si>
    <t xml:space="preserve">Inventory.DQ_Regime</t>
  </si>
  <si>
    <t xml:space="preserve">DAMA Data Quality tag: data-quality regime for the system's inputs (A.7.4).</t>
  </si>
  <si>
    <t xml:space="preserve">present / absent</t>
  </si>
  <si>
    <t xml:space="preserve">Inventory.Last_Audit_Date</t>
  </si>
  <si>
    <t xml:space="preserve">Date of most recent review; feeds the stale-audit test (A.6.2.6).</t>
  </si>
  <si>
    <t xml:space="preserve">ISO 8601 date</t>
  </si>
  <si>
    <t xml:space="preserve">Inventory.Impact_Assessment</t>
  </si>
  <si>
    <t xml:space="preserve">Per-system: has an AI system impact assessment been completed? (A.5.2)</t>
  </si>
  <si>
    <t xml:space="preserve">Inventory.Human_Oversight</t>
  </si>
  <si>
    <t xml:space="preserve">Per-system: form of human oversight (A.9.3). Required only for automated-decision systems.</t>
  </si>
  <si>
    <t xml:space="preserve">human-in-the-loop / human-on-the-loop / none</t>
  </si>
  <si>
    <t xml:space="preserve">Inventory.Verification_Validation</t>
  </si>
  <si>
    <t xml:space="preserve">Per-system: verified and validated against acceptance criteria? (A.6.2.4)</t>
  </si>
  <si>
    <t xml:space="preserve">Inventory.Technical_Doc</t>
  </si>
  <si>
    <t xml:space="preserve">Per-system: technical documentation maintained? (A.6.2.7)</t>
  </si>
  <si>
    <t xml:space="preserve">Inventory.Event_Logging</t>
  </si>
  <si>
    <t xml:space="preserve">Per-system: event logging enabled in production? (A.6.2.8)</t>
  </si>
  <si>
    <t xml:space="preserve">Inventory.Incident_Plan</t>
  </si>
  <si>
    <t xml:space="preserve">Per-system: users and AI-specific scenarios covered by the organizational incident plan? (A.8.4)</t>
  </si>
  <si>
    <t xml:space="preserve">Inventory.User_Transparency</t>
  </si>
  <si>
    <t xml:space="preserve">Per-system: user-facing information provided? (A.8.2)</t>
  </si>
  <si>
    <t xml:space="preserve">Inventory.Intended_Use_Doc</t>
  </si>
  <si>
    <t xml:space="preserve">Per-system: intended use documented? (A.9.4)</t>
  </si>
  <si>
    <t xml:space="preserve">Provenance</t>
  </si>
  <si>
    <t xml:space="preserve">Blended: entries adapted and de-identified from an institutional inventory plus synthetic entries created for this project; the two are not distinguished.</t>
  </si>
  <si>
    <t xml:space="preserve">-</t>
  </si>
  <si>
    <t xml:space="preserve">Scope note</t>
  </si>
  <si>
    <t xml:space="preserve">Scheduled SQL reports and rule-based extracts that involve no AI technique are excluded from this inventory and should be scoped out of the AIMS by formal decision.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</si>
</sst>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A5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F3A5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60"/>
    <col collapsed="false" customWidth="true" hidden="false" outlineLevel="0" max="4" min="4" style="1" width="34"/>
    <col collapsed="false" customWidth="true" hidden="false" outlineLevel="0" max="5" min="5" style="1" width="11"/>
    <col collapsed="false" customWidth="true" hidden="false" outlineLevel="0" max="7" min="6" style="1" width="10"/>
    <col collapsed="false" customWidth="true" hidden="false" outlineLevel="0" max="8" min="8" style="1" width="34"/>
    <col collapsed="false" customWidth="true" hidden="false" outlineLevel="0" max="9" min="9" style="1" width="28"/>
    <col collapsed="false" customWidth="true" hidden="false" outlineLevel="0" max="10" min="10" style="1" width="26"/>
    <col collapsed="false" customWidth="true" hidden="false" outlineLevel="0" max="11" min="11" style="1" width="12"/>
    <col collapsed="false" customWidth="true" hidden="false" outlineLevel="0" max="13" min="12" style="1" width="13"/>
    <col collapsed="false" customWidth="true" hidden="false" outlineLevel="0" max="14" min="14" style="1" width="12"/>
    <col collapsed="false" customWidth="true" hidden="false" outlineLevel="0" max="15" min="15" style="1" width="11"/>
    <col collapsed="false" customWidth="true" hidden="false" outlineLevel="0" max="16" min="16" style="1" width="12"/>
    <col collapsed="false" customWidth="true" hidden="false" outlineLevel="0" max="17" min="17" style="1" width="17"/>
    <col collapsed="false" customWidth="true" hidden="false" outlineLevel="0" max="18" min="18" style="1" width="13"/>
    <col collapsed="false" customWidth="true" hidden="false" outlineLevel="0" max="21" min="19" style="1" width="12"/>
    <col collapsed="false" customWidth="true" hidden="false" outlineLevel="0" max="23" min="22" style="1" width="13"/>
  </cols>
  <sheetData>
    <row r="1" customFormat="false" ht="15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4" customFormat="false" ht="23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</row>
    <row r="5" customFormat="false" ht="23.25" hidden="false" customHeight="true" outlineLevel="0" collapsed="false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6" t="n">
        <v>46191</v>
      </c>
      <c r="N5" s="5" t="s">
        <v>36</v>
      </c>
      <c r="O5" s="5" t="s">
        <v>37</v>
      </c>
      <c r="P5" s="5" t="s">
        <v>29</v>
      </c>
      <c r="Q5" s="5" t="s">
        <v>38</v>
      </c>
      <c r="R5" s="5" t="s">
        <v>29</v>
      </c>
      <c r="S5" s="5" t="s">
        <v>29</v>
      </c>
      <c r="T5" s="5" t="s">
        <v>29</v>
      </c>
      <c r="U5" s="5" t="s">
        <v>29</v>
      </c>
      <c r="V5" s="5" t="s">
        <v>29</v>
      </c>
      <c r="W5" s="5" t="s">
        <v>29</v>
      </c>
    </row>
    <row r="6" customFormat="false" ht="23.25" hidden="false" customHeight="true" outlineLevel="0" collapsed="false">
      <c r="A6" s="5" t="s">
        <v>39</v>
      </c>
      <c r="B6" s="5" t="s">
        <v>40</v>
      </c>
      <c r="C6" s="5" t="s">
        <v>41</v>
      </c>
      <c r="D6" s="5" t="s">
        <v>42</v>
      </c>
      <c r="E6" s="5" t="s">
        <v>29</v>
      </c>
      <c r="F6" s="5" t="s">
        <v>29</v>
      </c>
      <c r="G6" s="5" t="s">
        <v>30</v>
      </c>
      <c r="H6" s="5" t="s">
        <v>31</v>
      </c>
      <c r="I6" s="5" t="s">
        <v>32</v>
      </c>
      <c r="J6" s="5" t="s">
        <v>33</v>
      </c>
      <c r="K6" s="5" t="s">
        <v>34</v>
      </c>
      <c r="L6" s="5" t="s">
        <v>35</v>
      </c>
      <c r="M6" s="6" t="n">
        <v>46172</v>
      </c>
      <c r="N6" s="5" t="s">
        <v>36</v>
      </c>
      <c r="O6" s="5" t="s">
        <v>37</v>
      </c>
      <c r="P6" s="5" t="s">
        <v>29</v>
      </c>
      <c r="Q6" s="5" t="s">
        <v>38</v>
      </c>
      <c r="R6" s="5" t="s">
        <v>29</v>
      </c>
      <c r="S6" s="5" t="s">
        <v>29</v>
      </c>
      <c r="T6" s="5" t="s">
        <v>29</v>
      </c>
      <c r="U6" s="5" t="s">
        <v>29</v>
      </c>
      <c r="V6" s="5" t="s">
        <v>29</v>
      </c>
      <c r="W6" s="5" t="s">
        <v>29</v>
      </c>
    </row>
    <row r="7" customFormat="false" ht="23.25" hidden="false" customHeight="true" outlineLevel="0" collapsed="false">
      <c r="A7" s="5" t="s">
        <v>43</v>
      </c>
      <c r="B7" s="5" t="s">
        <v>44</v>
      </c>
      <c r="C7" s="5" t="s">
        <v>45</v>
      </c>
      <c r="D7" s="5" t="s">
        <v>46</v>
      </c>
      <c r="E7" s="5" t="s">
        <v>29</v>
      </c>
      <c r="F7" s="5" t="s">
        <v>29</v>
      </c>
      <c r="G7" s="5" t="s">
        <v>30</v>
      </c>
      <c r="H7" s="5" t="s">
        <v>31</v>
      </c>
      <c r="I7" s="5" t="s">
        <v>32</v>
      </c>
      <c r="J7" s="5" t="s">
        <v>33</v>
      </c>
      <c r="K7" s="5" t="s">
        <v>34</v>
      </c>
      <c r="L7" s="5" t="s">
        <v>35</v>
      </c>
      <c r="M7" s="6" t="n">
        <v>46134</v>
      </c>
      <c r="N7" s="5" t="s">
        <v>36</v>
      </c>
      <c r="O7" s="5" t="s">
        <v>37</v>
      </c>
      <c r="P7" s="5" t="s">
        <v>29</v>
      </c>
      <c r="Q7" s="5" t="s">
        <v>38</v>
      </c>
      <c r="R7" s="5" t="s">
        <v>29</v>
      </c>
      <c r="S7" s="5" t="s">
        <v>29</v>
      </c>
      <c r="T7" s="5" t="s">
        <v>29</v>
      </c>
      <c r="U7" s="5" t="s">
        <v>29</v>
      </c>
      <c r="V7" s="5" t="s">
        <v>47</v>
      </c>
      <c r="W7" s="5" t="s">
        <v>29</v>
      </c>
    </row>
    <row r="8" customFormat="false" ht="23.25" hidden="false" customHeight="true" outlineLevel="0" collapsed="false">
      <c r="A8" s="5" t="s">
        <v>48</v>
      </c>
      <c r="B8" s="5" t="s">
        <v>49</v>
      </c>
      <c r="C8" s="5" t="s">
        <v>50</v>
      </c>
      <c r="D8" s="5" t="s">
        <v>51</v>
      </c>
      <c r="E8" s="5" t="s">
        <v>29</v>
      </c>
      <c r="F8" s="5" t="s">
        <v>29</v>
      </c>
      <c r="G8" s="5" t="s">
        <v>30</v>
      </c>
      <c r="H8" s="5" t="s">
        <v>52</v>
      </c>
      <c r="I8" s="5" t="s">
        <v>53</v>
      </c>
      <c r="J8" s="5" t="s">
        <v>54</v>
      </c>
      <c r="K8" s="5" t="s">
        <v>34</v>
      </c>
      <c r="L8" s="5" t="s">
        <v>35</v>
      </c>
      <c r="M8" s="6" t="n">
        <v>46178</v>
      </c>
      <c r="N8" s="5" t="s">
        <v>36</v>
      </c>
      <c r="O8" s="5" t="s">
        <v>37</v>
      </c>
      <c r="P8" s="5" t="s">
        <v>29</v>
      </c>
      <c r="Q8" s="5" t="s">
        <v>38</v>
      </c>
      <c r="R8" s="5" t="s">
        <v>29</v>
      </c>
      <c r="S8" s="5" t="s">
        <v>29</v>
      </c>
      <c r="T8" s="5" t="s">
        <v>29</v>
      </c>
      <c r="U8" s="5" t="s">
        <v>29</v>
      </c>
      <c r="V8" s="5" t="s">
        <v>29</v>
      </c>
      <c r="W8" s="5" t="s">
        <v>29</v>
      </c>
    </row>
    <row r="9" customFormat="false" ht="23.25" hidden="false" customHeight="true" outlineLevel="0" collapsed="false">
      <c r="A9" s="5" t="s">
        <v>55</v>
      </c>
      <c r="B9" s="5" t="s">
        <v>56</v>
      </c>
      <c r="C9" s="5" t="s">
        <v>57</v>
      </c>
      <c r="D9" s="5" t="s">
        <v>58</v>
      </c>
      <c r="E9" s="5" t="s">
        <v>29</v>
      </c>
      <c r="F9" s="5" t="s">
        <v>29</v>
      </c>
      <c r="G9" s="5" t="s">
        <v>30</v>
      </c>
      <c r="H9" s="5" t="s">
        <v>59</v>
      </c>
      <c r="I9" s="5" t="s">
        <v>53</v>
      </c>
      <c r="J9" s="5" t="s">
        <v>54</v>
      </c>
      <c r="K9" s="5" t="s">
        <v>34</v>
      </c>
      <c r="L9" s="5" t="s">
        <v>35</v>
      </c>
      <c r="M9" s="6" t="n">
        <v>46175</v>
      </c>
      <c r="N9" s="5" t="s">
        <v>36</v>
      </c>
      <c r="O9" s="5" t="s">
        <v>37</v>
      </c>
      <c r="P9" s="5" t="s">
        <v>29</v>
      </c>
      <c r="Q9" s="5" t="s">
        <v>38</v>
      </c>
      <c r="R9" s="5" t="s">
        <v>29</v>
      </c>
      <c r="S9" s="5" t="s">
        <v>29</v>
      </c>
      <c r="T9" s="5" t="s">
        <v>29</v>
      </c>
      <c r="U9" s="5" t="s">
        <v>29</v>
      </c>
      <c r="V9" s="5" t="s">
        <v>47</v>
      </c>
      <c r="W9" s="5" t="s">
        <v>29</v>
      </c>
    </row>
    <row r="10" customFormat="false" ht="23.25" hidden="false" customHeight="true" outlineLevel="0" collapsed="false">
      <c r="A10" s="5" t="s">
        <v>60</v>
      </c>
      <c r="B10" s="5" t="s">
        <v>61</v>
      </c>
      <c r="C10" s="5" t="s">
        <v>62</v>
      </c>
      <c r="D10" s="5" t="s">
        <v>63</v>
      </c>
      <c r="E10" s="5" t="s">
        <v>47</v>
      </c>
      <c r="F10" s="5" t="s">
        <v>29</v>
      </c>
      <c r="G10" s="5" t="s">
        <v>30</v>
      </c>
      <c r="H10" s="5" t="s">
        <v>64</v>
      </c>
      <c r="I10" s="5" t="s">
        <v>32</v>
      </c>
      <c r="J10" s="5" t="s">
        <v>65</v>
      </c>
      <c r="K10" s="5" t="s">
        <v>34</v>
      </c>
      <c r="L10" s="5" t="s">
        <v>35</v>
      </c>
      <c r="M10" s="6" t="n">
        <v>46156</v>
      </c>
      <c r="N10" s="5" t="s">
        <v>36</v>
      </c>
      <c r="O10" s="5" t="s">
        <v>37</v>
      </c>
      <c r="P10" s="5" t="s">
        <v>29</v>
      </c>
      <c r="Q10" s="5" t="s">
        <v>66</v>
      </c>
      <c r="R10" s="5" t="s">
        <v>29</v>
      </c>
      <c r="S10" s="5" t="s">
        <v>29</v>
      </c>
      <c r="T10" s="5" t="s">
        <v>29</v>
      </c>
      <c r="U10" s="5" t="s">
        <v>29</v>
      </c>
      <c r="V10" s="5" t="s">
        <v>47</v>
      </c>
      <c r="W10" s="5" t="s">
        <v>29</v>
      </c>
    </row>
    <row r="11" customFormat="false" ht="23.25" hidden="false" customHeight="true" outlineLevel="0" collapsed="false">
      <c r="A11" s="5" t="s">
        <v>67</v>
      </c>
      <c r="B11" s="5" t="s">
        <v>68</v>
      </c>
      <c r="C11" s="5" t="s">
        <v>69</v>
      </c>
      <c r="D11" s="5" t="s">
        <v>70</v>
      </c>
      <c r="E11" s="5" t="s">
        <v>47</v>
      </c>
      <c r="F11" s="5" t="s">
        <v>29</v>
      </c>
      <c r="G11" s="5" t="s">
        <v>30</v>
      </c>
      <c r="H11" s="5" t="s">
        <v>64</v>
      </c>
      <c r="I11" s="5" t="s">
        <v>32</v>
      </c>
      <c r="J11" s="5" t="s">
        <v>65</v>
      </c>
      <c r="K11" s="5" t="s">
        <v>34</v>
      </c>
      <c r="L11" s="5" t="s">
        <v>35</v>
      </c>
      <c r="M11" s="6" t="n">
        <v>46108</v>
      </c>
      <c r="N11" s="5" t="s">
        <v>71</v>
      </c>
      <c r="O11" s="5" t="s">
        <v>37</v>
      </c>
      <c r="P11" s="5" t="s">
        <v>29</v>
      </c>
      <c r="Q11" s="5" t="s">
        <v>66</v>
      </c>
      <c r="R11" s="5" t="s">
        <v>29</v>
      </c>
      <c r="S11" s="5" t="s">
        <v>47</v>
      </c>
      <c r="T11" s="5" t="s">
        <v>29</v>
      </c>
      <c r="U11" s="5" t="s">
        <v>29</v>
      </c>
      <c r="V11" s="5" t="s">
        <v>47</v>
      </c>
      <c r="W11" s="5" t="s">
        <v>29</v>
      </c>
    </row>
    <row r="12" customFormat="false" ht="23.25" hidden="false" customHeight="true" outlineLevel="0" collapsed="false">
      <c r="A12" s="5" t="s">
        <v>72</v>
      </c>
      <c r="B12" s="5" t="s">
        <v>73</v>
      </c>
      <c r="C12" s="5" t="s">
        <v>74</v>
      </c>
      <c r="D12" s="5" t="s">
        <v>75</v>
      </c>
      <c r="E12" s="5" t="s">
        <v>47</v>
      </c>
      <c r="F12" s="5" t="s">
        <v>29</v>
      </c>
      <c r="G12" s="5" t="s">
        <v>30</v>
      </c>
      <c r="H12" s="5" t="s">
        <v>76</v>
      </c>
      <c r="I12" s="5" t="s">
        <v>53</v>
      </c>
      <c r="J12" s="5" t="s">
        <v>77</v>
      </c>
      <c r="K12" s="5" t="s">
        <v>78</v>
      </c>
      <c r="L12" s="5" t="s">
        <v>35</v>
      </c>
      <c r="M12" s="6" t="n">
        <v>46063</v>
      </c>
      <c r="N12" s="5" t="s">
        <v>71</v>
      </c>
      <c r="O12" s="5" t="s">
        <v>37</v>
      </c>
      <c r="P12" s="5" t="s">
        <v>29</v>
      </c>
      <c r="Q12" s="5" t="s">
        <v>66</v>
      </c>
      <c r="R12" s="5" t="s">
        <v>29</v>
      </c>
      <c r="S12" s="5" t="s">
        <v>29</v>
      </c>
      <c r="T12" s="5" t="s">
        <v>47</v>
      </c>
      <c r="U12" s="5" t="s">
        <v>29</v>
      </c>
      <c r="V12" s="5" t="s">
        <v>47</v>
      </c>
      <c r="W12" s="5" t="s">
        <v>29</v>
      </c>
    </row>
    <row r="13" customFormat="false" ht="23.25" hidden="false" customHeight="true" outlineLevel="0" collapsed="false">
      <c r="A13" s="5" t="s">
        <v>79</v>
      </c>
      <c r="B13" s="5" t="s">
        <v>80</v>
      </c>
      <c r="C13" s="5" t="s">
        <v>81</v>
      </c>
      <c r="D13" s="5" t="s">
        <v>82</v>
      </c>
      <c r="E13" s="5" t="s">
        <v>47</v>
      </c>
      <c r="F13" s="5" t="s">
        <v>29</v>
      </c>
      <c r="G13" s="5" t="s">
        <v>30</v>
      </c>
      <c r="H13" s="5" t="s">
        <v>83</v>
      </c>
      <c r="I13" s="5" t="s">
        <v>53</v>
      </c>
      <c r="J13" s="5" t="s">
        <v>84</v>
      </c>
      <c r="K13" s="5" t="s">
        <v>34</v>
      </c>
      <c r="L13" s="5" t="s">
        <v>35</v>
      </c>
      <c r="M13" s="6" t="n">
        <v>46163</v>
      </c>
      <c r="N13" s="5" t="s">
        <v>36</v>
      </c>
      <c r="O13" s="5" t="s">
        <v>37</v>
      </c>
      <c r="P13" s="5" t="s">
        <v>29</v>
      </c>
      <c r="Q13" s="5" t="s">
        <v>66</v>
      </c>
      <c r="R13" s="5" t="s">
        <v>29</v>
      </c>
      <c r="S13" s="5" t="s">
        <v>29</v>
      </c>
      <c r="T13" s="5" t="s">
        <v>47</v>
      </c>
      <c r="U13" s="5" t="s">
        <v>29</v>
      </c>
      <c r="V13" s="5" t="s">
        <v>47</v>
      </c>
      <c r="W13" s="5" t="s">
        <v>29</v>
      </c>
    </row>
    <row r="14" customFormat="false" ht="23.25" hidden="false" customHeight="true" outlineLevel="0" collapsed="false">
      <c r="A14" s="5" t="s">
        <v>85</v>
      </c>
      <c r="B14" s="5" t="s">
        <v>86</v>
      </c>
      <c r="C14" s="5" t="s">
        <v>87</v>
      </c>
      <c r="D14" s="5" t="s">
        <v>88</v>
      </c>
      <c r="E14" s="5" t="s">
        <v>47</v>
      </c>
      <c r="F14" s="5" t="s">
        <v>29</v>
      </c>
      <c r="G14" s="5" t="s">
        <v>30</v>
      </c>
      <c r="H14" s="5" t="s">
        <v>89</v>
      </c>
      <c r="I14" s="5" t="s">
        <v>90</v>
      </c>
      <c r="J14" s="5" t="s">
        <v>91</v>
      </c>
      <c r="K14" s="5" t="s">
        <v>34</v>
      </c>
      <c r="L14" s="5" t="s">
        <v>35</v>
      </c>
      <c r="M14" s="6" t="n">
        <v>46095</v>
      </c>
      <c r="N14" s="5" t="s">
        <v>71</v>
      </c>
      <c r="O14" s="5" t="s">
        <v>37</v>
      </c>
      <c r="P14" s="5" t="s">
        <v>29</v>
      </c>
      <c r="Q14" s="5" t="s">
        <v>38</v>
      </c>
      <c r="R14" s="5" t="s">
        <v>29</v>
      </c>
      <c r="S14" s="5" t="s">
        <v>47</v>
      </c>
      <c r="T14" s="5" t="s">
        <v>47</v>
      </c>
      <c r="U14" s="5" t="s">
        <v>29</v>
      </c>
      <c r="V14" s="5" t="s">
        <v>47</v>
      </c>
      <c r="W14" s="5" t="s">
        <v>29</v>
      </c>
    </row>
    <row r="15" customFormat="false" ht="23.25" hidden="false" customHeight="true" outlineLevel="0" collapsed="false">
      <c r="A15" s="5" t="s">
        <v>92</v>
      </c>
      <c r="B15" s="5" t="s">
        <v>93</v>
      </c>
      <c r="C15" s="5" t="s">
        <v>94</v>
      </c>
      <c r="D15" s="5" t="s">
        <v>95</v>
      </c>
      <c r="E15" s="5" t="s">
        <v>47</v>
      </c>
      <c r="F15" s="5" t="s">
        <v>29</v>
      </c>
      <c r="G15" s="5" t="s">
        <v>30</v>
      </c>
      <c r="H15" s="5" t="s">
        <v>89</v>
      </c>
      <c r="I15" s="5" t="s">
        <v>90</v>
      </c>
      <c r="J15" s="5" t="s">
        <v>91</v>
      </c>
      <c r="K15" s="5" t="s">
        <v>34</v>
      </c>
      <c r="L15" s="5" t="s">
        <v>35</v>
      </c>
      <c r="M15" s="6" t="n">
        <v>46150</v>
      </c>
      <c r="N15" s="5" t="s">
        <v>36</v>
      </c>
      <c r="O15" s="5" t="s">
        <v>37</v>
      </c>
      <c r="P15" s="5" t="s">
        <v>29</v>
      </c>
      <c r="Q15" s="5" t="s">
        <v>66</v>
      </c>
      <c r="R15" s="5" t="s">
        <v>29</v>
      </c>
      <c r="S15" s="5" t="s">
        <v>29</v>
      </c>
      <c r="T15" s="5" t="s">
        <v>47</v>
      </c>
      <c r="U15" s="5" t="s">
        <v>29</v>
      </c>
      <c r="V15" s="5" t="s">
        <v>47</v>
      </c>
      <c r="W15" s="5" t="s">
        <v>29</v>
      </c>
    </row>
    <row r="16" customFormat="false" ht="23.25" hidden="false" customHeight="true" outlineLevel="0" collapsed="false">
      <c r="A16" s="5" t="s">
        <v>96</v>
      </c>
      <c r="B16" s="5" t="s">
        <v>97</v>
      </c>
      <c r="C16" s="5" t="s">
        <v>98</v>
      </c>
      <c r="D16" s="5" t="s">
        <v>99</v>
      </c>
      <c r="E16" s="5" t="s">
        <v>47</v>
      </c>
      <c r="F16" s="5" t="s">
        <v>29</v>
      </c>
      <c r="G16" s="5" t="s">
        <v>100</v>
      </c>
      <c r="H16" s="5" t="s">
        <v>101</v>
      </c>
      <c r="I16" s="5" t="s">
        <v>53</v>
      </c>
      <c r="J16" s="5" t="s">
        <v>102</v>
      </c>
      <c r="K16" s="5" t="s">
        <v>78</v>
      </c>
      <c r="L16" s="5" t="s">
        <v>35</v>
      </c>
      <c r="M16" s="6" t="n">
        <v>46042</v>
      </c>
      <c r="N16" s="5" t="s">
        <v>71</v>
      </c>
      <c r="O16" s="5" t="s">
        <v>37</v>
      </c>
      <c r="P16" s="5" t="s">
        <v>47</v>
      </c>
      <c r="Q16" s="5"/>
      <c r="R16" s="5" t="s">
        <v>29</v>
      </c>
      <c r="S16" s="5" t="s">
        <v>47</v>
      </c>
      <c r="T16" s="5" t="s">
        <v>47</v>
      </c>
      <c r="U16" s="5" t="s">
        <v>47</v>
      </c>
      <c r="V16" s="5" t="s">
        <v>47</v>
      </c>
      <c r="W16" s="5" t="s">
        <v>29</v>
      </c>
    </row>
    <row r="17" customFormat="false" ht="23.25" hidden="false" customHeight="true" outlineLevel="0" collapsed="false">
      <c r="A17" s="5" t="s">
        <v>103</v>
      </c>
      <c r="B17" s="5" t="s">
        <v>104</v>
      </c>
      <c r="C17" s="5" t="s">
        <v>105</v>
      </c>
      <c r="D17" s="5" t="s">
        <v>99</v>
      </c>
      <c r="E17" s="5" t="s">
        <v>47</v>
      </c>
      <c r="F17" s="5" t="s">
        <v>29</v>
      </c>
      <c r="G17" s="5" t="s">
        <v>100</v>
      </c>
      <c r="H17" s="5" t="s">
        <v>101</v>
      </c>
      <c r="I17" s="5" t="s">
        <v>53</v>
      </c>
      <c r="J17" s="5" t="s">
        <v>106</v>
      </c>
      <c r="K17" s="5" t="s">
        <v>107</v>
      </c>
      <c r="L17" s="5" t="s">
        <v>35</v>
      </c>
      <c r="M17" s="6" t="n">
        <v>45973</v>
      </c>
      <c r="N17" s="5" t="s">
        <v>71</v>
      </c>
      <c r="O17" s="5" t="s">
        <v>108</v>
      </c>
      <c r="P17" s="5" t="s">
        <v>47</v>
      </c>
      <c r="Q17" s="5"/>
      <c r="R17" s="5" t="s">
        <v>47</v>
      </c>
      <c r="S17" s="5" t="s">
        <v>47</v>
      </c>
      <c r="T17" s="5" t="s">
        <v>47</v>
      </c>
      <c r="U17" s="5" t="s">
        <v>47</v>
      </c>
      <c r="V17" s="5" t="s">
        <v>47</v>
      </c>
      <c r="W17" s="5" t="s">
        <v>47</v>
      </c>
    </row>
    <row r="18" customFormat="false" ht="23.25" hidden="false" customHeight="true" outlineLevel="0" collapsed="false">
      <c r="A18" s="5" t="s">
        <v>109</v>
      </c>
      <c r="B18" s="5" t="s">
        <v>110</v>
      </c>
      <c r="C18" s="5" t="s">
        <v>111</v>
      </c>
      <c r="D18" s="5" t="s">
        <v>99</v>
      </c>
      <c r="E18" s="5" t="s">
        <v>47</v>
      </c>
      <c r="F18" s="5" t="s">
        <v>29</v>
      </c>
      <c r="G18" s="5" t="s">
        <v>100</v>
      </c>
      <c r="H18" s="5" t="s">
        <v>112</v>
      </c>
      <c r="I18" s="5" t="s">
        <v>53</v>
      </c>
      <c r="J18" s="5" t="s">
        <v>106</v>
      </c>
      <c r="K18" s="5" t="s">
        <v>107</v>
      </c>
      <c r="L18" s="5" t="s">
        <v>35</v>
      </c>
      <c r="M18" s="6" t="n">
        <v>45994</v>
      </c>
      <c r="N18" s="5" t="s">
        <v>71</v>
      </c>
      <c r="O18" s="5" t="s">
        <v>108</v>
      </c>
      <c r="P18" s="5" t="s">
        <v>47</v>
      </c>
      <c r="Q18" s="5"/>
      <c r="R18" s="5" t="s">
        <v>47</v>
      </c>
      <c r="S18" s="5" t="s">
        <v>47</v>
      </c>
      <c r="T18" s="5" t="s">
        <v>47</v>
      </c>
      <c r="U18" s="5" t="s">
        <v>47</v>
      </c>
      <c r="V18" s="5" t="s">
        <v>47</v>
      </c>
      <c r="W18" s="5" t="s">
        <v>47</v>
      </c>
    </row>
    <row r="19" customFormat="false" ht="23.25" hidden="false" customHeight="true" outlineLevel="0" collapsed="false">
      <c r="A19" s="5" t="s">
        <v>113</v>
      </c>
      <c r="B19" s="5" t="s">
        <v>114</v>
      </c>
      <c r="C19" s="5" t="s">
        <v>115</v>
      </c>
      <c r="D19" s="5" t="s">
        <v>116</v>
      </c>
      <c r="E19" s="5" t="s">
        <v>29</v>
      </c>
      <c r="F19" s="5" t="s">
        <v>29</v>
      </c>
      <c r="G19" s="5" t="s">
        <v>100</v>
      </c>
      <c r="H19" s="5" t="s">
        <v>112</v>
      </c>
      <c r="I19" s="5" t="s">
        <v>53</v>
      </c>
      <c r="J19" s="5" t="s">
        <v>106</v>
      </c>
      <c r="K19" s="5" t="s">
        <v>107</v>
      </c>
      <c r="L19" s="5" t="s">
        <v>35</v>
      </c>
      <c r="M19" s="6" t="n">
        <v>46071</v>
      </c>
      <c r="N19" s="5" t="s">
        <v>71</v>
      </c>
      <c r="O19" s="5" t="s">
        <v>108</v>
      </c>
      <c r="P19" s="5" t="s">
        <v>47</v>
      </c>
      <c r="Q19" s="5" t="s">
        <v>117</v>
      </c>
      <c r="R19" s="5" t="s">
        <v>47</v>
      </c>
      <c r="S19" s="5" t="s">
        <v>47</v>
      </c>
      <c r="T19" s="5" t="s">
        <v>47</v>
      </c>
      <c r="U19" s="5" t="s">
        <v>47</v>
      </c>
      <c r="V19" s="5" t="s">
        <v>47</v>
      </c>
      <c r="W19" s="5" t="s">
        <v>47</v>
      </c>
    </row>
    <row r="20" customFormat="false" ht="23.25" hidden="false" customHeight="true" outlineLevel="0" collapsed="false">
      <c r="A20" s="5" t="s">
        <v>118</v>
      </c>
      <c r="B20" s="5" t="s">
        <v>119</v>
      </c>
      <c r="C20" s="5" t="s">
        <v>120</v>
      </c>
      <c r="D20" s="5" t="s">
        <v>121</v>
      </c>
      <c r="E20" s="5" t="s">
        <v>47</v>
      </c>
      <c r="F20" s="5" t="s">
        <v>29</v>
      </c>
      <c r="G20" s="5" t="s">
        <v>122</v>
      </c>
      <c r="H20" s="5" t="s">
        <v>101</v>
      </c>
      <c r="I20" s="5" t="s">
        <v>123</v>
      </c>
      <c r="J20" s="5" t="s">
        <v>102</v>
      </c>
      <c r="K20" s="5" t="s">
        <v>78</v>
      </c>
      <c r="L20" s="5" t="s">
        <v>35</v>
      </c>
      <c r="M20" s="6" t="n">
        <v>46111</v>
      </c>
      <c r="N20" s="5" t="s">
        <v>36</v>
      </c>
      <c r="O20" s="5" t="s">
        <v>37</v>
      </c>
      <c r="P20" s="5" t="s">
        <v>47</v>
      </c>
      <c r="Q20" s="5"/>
      <c r="R20" s="5" t="s">
        <v>29</v>
      </c>
      <c r="S20" s="5" t="s">
        <v>29</v>
      </c>
      <c r="T20" s="5" t="s">
        <v>47</v>
      </c>
      <c r="U20" s="5" t="s">
        <v>29</v>
      </c>
      <c r="V20" s="5" t="s">
        <v>47</v>
      </c>
      <c r="W20" s="5" t="s">
        <v>29</v>
      </c>
    </row>
    <row r="21" customFormat="false" ht="23.25" hidden="false" customHeight="true" outlineLevel="0" collapsed="false">
      <c r="A21" s="5" t="s">
        <v>124</v>
      </c>
      <c r="B21" s="5" t="s">
        <v>125</v>
      </c>
      <c r="C21" s="5" t="s">
        <v>126</v>
      </c>
      <c r="D21" s="5" t="s">
        <v>127</v>
      </c>
      <c r="E21" s="5" t="s">
        <v>29</v>
      </c>
      <c r="F21" s="5" t="s">
        <v>29</v>
      </c>
      <c r="G21" s="5" t="s">
        <v>100</v>
      </c>
      <c r="H21" s="5" t="s">
        <v>128</v>
      </c>
      <c r="I21" s="5" t="s">
        <v>123</v>
      </c>
      <c r="J21" s="5" t="s">
        <v>129</v>
      </c>
      <c r="K21" s="5" t="s">
        <v>34</v>
      </c>
      <c r="L21" s="5" t="s">
        <v>35</v>
      </c>
      <c r="M21" s="6" t="n">
        <v>46123</v>
      </c>
      <c r="N21" s="5" t="s">
        <v>36</v>
      </c>
      <c r="O21" s="5" t="s">
        <v>37</v>
      </c>
      <c r="P21" s="5" t="s">
        <v>29</v>
      </c>
      <c r="Q21" s="5" t="s">
        <v>66</v>
      </c>
      <c r="R21" s="5" t="s">
        <v>29</v>
      </c>
      <c r="S21" s="5" t="s">
        <v>29</v>
      </c>
      <c r="T21" s="5" t="s">
        <v>29</v>
      </c>
      <c r="U21" s="5" t="s">
        <v>29</v>
      </c>
      <c r="V21" s="5" t="s">
        <v>47</v>
      </c>
      <c r="W21" s="5" t="s">
        <v>29</v>
      </c>
    </row>
    <row r="22" customFormat="false" ht="23.25" hidden="false" customHeight="true" outlineLevel="0" collapsed="false">
      <c r="A22" s="5" t="s">
        <v>130</v>
      </c>
      <c r="B22" s="5" t="s">
        <v>131</v>
      </c>
      <c r="C22" s="5" t="s">
        <v>132</v>
      </c>
      <c r="D22" s="5" t="s">
        <v>133</v>
      </c>
      <c r="E22" s="5" t="s">
        <v>47</v>
      </c>
      <c r="F22" s="5" t="s">
        <v>29</v>
      </c>
      <c r="G22" s="5" t="s">
        <v>100</v>
      </c>
      <c r="H22" s="5" t="s">
        <v>128</v>
      </c>
      <c r="I22" s="5" t="s">
        <v>123</v>
      </c>
      <c r="J22" s="5" t="s">
        <v>106</v>
      </c>
      <c r="K22" s="5" t="s">
        <v>107</v>
      </c>
      <c r="L22" s="5" t="s">
        <v>35</v>
      </c>
      <c r="M22" s="6" t="n">
        <v>45996</v>
      </c>
      <c r="N22" s="5" t="s">
        <v>108</v>
      </c>
      <c r="O22" s="5" t="s">
        <v>108</v>
      </c>
      <c r="P22" s="5" t="s">
        <v>47</v>
      </c>
      <c r="Q22" s="5"/>
      <c r="R22" s="5" t="s">
        <v>47</v>
      </c>
      <c r="S22" s="5" t="s">
        <v>47</v>
      </c>
      <c r="T22" s="5" t="s">
        <v>47</v>
      </c>
      <c r="U22" s="5" t="s">
        <v>47</v>
      </c>
      <c r="V22" s="5" t="s">
        <v>47</v>
      </c>
      <c r="W22" s="5" t="s">
        <v>47</v>
      </c>
    </row>
    <row r="23" customFormat="false" ht="23.25" hidden="false" customHeight="true" outlineLevel="0" collapsed="false">
      <c r="A23" s="5" t="s">
        <v>134</v>
      </c>
      <c r="B23" s="5" t="s">
        <v>135</v>
      </c>
      <c r="C23" s="5" t="s">
        <v>136</v>
      </c>
      <c r="D23" s="5" t="s">
        <v>137</v>
      </c>
      <c r="E23" s="5" t="s">
        <v>47</v>
      </c>
      <c r="F23" s="5" t="s">
        <v>29</v>
      </c>
      <c r="G23" s="5" t="s">
        <v>100</v>
      </c>
      <c r="H23" s="5" t="s">
        <v>138</v>
      </c>
      <c r="I23" s="5" t="s">
        <v>139</v>
      </c>
      <c r="J23" s="5" t="s">
        <v>140</v>
      </c>
      <c r="K23" s="5" t="s">
        <v>78</v>
      </c>
      <c r="L23" s="5" t="s">
        <v>35</v>
      </c>
      <c r="M23" s="6" t="n">
        <v>46120</v>
      </c>
      <c r="N23" s="5" t="s">
        <v>71</v>
      </c>
      <c r="O23" s="5" t="s">
        <v>37</v>
      </c>
      <c r="P23" s="5" t="s">
        <v>29</v>
      </c>
      <c r="Q23" s="5" t="s">
        <v>66</v>
      </c>
      <c r="R23" s="5" t="s">
        <v>29</v>
      </c>
      <c r="S23" s="5" t="s">
        <v>29</v>
      </c>
      <c r="T23" s="5" t="s">
        <v>47</v>
      </c>
      <c r="U23" s="5" t="s">
        <v>29</v>
      </c>
      <c r="V23" s="5" t="s">
        <v>29</v>
      </c>
      <c r="W23" s="5" t="s">
        <v>29</v>
      </c>
    </row>
    <row r="24" customFormat="false" ht="15" hidden="false" customHeight="true" outlineLevel="0" collapsed="false">
      <c r="A24" s="5" t="s">
        <v>141</v>
      </c>
      <c r="B24" s="5" t="s">
        <v>142</v>
      </c>
      <c r="C24" s="5" t="s">
        <v>143</v>
      </c>
      <c r="D24" s="5" t="s">
        <v>144</v>
      </c>
      <c r="E24" s="5" t="s">
        <v>47</v>
      </c>
      <c r="F24" s="5" t="s">
        <v>29</v>
      </c>
      <c r="G24" s="5" t="s">
        <v>100</v>
      </c>
      <c r="H24" s="5" t="s">
        <v>145</v>
      </c>
      <c r="I24" s="5" t="s">
        <v>90</v>
      </c>
      <c r="J24" s="5" t="s">
        <v>146</v>
      </c>
      <c r="K24" s="5" t="s">
        <v>34</v>
      </c>
      <c r="L24" s="5" t="s">
        <v>35</v>
      </c>
      <c r="M24" s="6" t="n">
        <v>46079</v>
      </c>
      <c r="N24" s="5" t="s">
        <v>36</v>
      </c>
      <c r="O24" s="5" t="s">
        <v>37</v>
      </c>
      <c r="P24" s="5" t="s">
        <v>29</v>
      </c>
      <c r="Q24" s="5" t="s">
        <v>38</v>
      </c>
      <c r="R24" s="5" t="s">
        <v>29</v>
      </c>
      <c r="S24" s="5" t="s">
        <v>29</v>
      </c>
      <c r="T24" s="5" t="s">
        <v>47</v>
      </c>
      <c r="U24" s="5" t="s">
        <v>29</v>
      </c>
      <c r="V24" s="5" t="s">
        <v>47</v>
      </c>
      <c r="W24" s="5" t="s">
        <v>29</v>
      </c>
    </row>
    <row r="25" customFormat="false" ht="23.25" hidden="false" customHeight="true" outlineLevel="0" collapsed="false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47</v>
      </c>
      <c r="F25" s="5" t="s">
        <v>29</v>
      </c>
      <c r="G25" s="5" t="s">
        <v>30</v>
      </c>
      <c r="H25" s="5" t="s">
        <v>145</v>
      </c>
      <c r="I25" s="5" t="s">
        <v>90</v>
      </c>
      <c r="J25" s="5" t="s">
        <v>146</v>
      </c>
      <c r="K25" s="5" t="s">
        <v>34</v>
      </c>
      <c r="L25" s="5" t="s">
        <v>35</v>
      </c>
      <c r="M25" s="6" t="n">
        <v>46161</v>
      </c>
      <c r="N25" s="5" t="s">
        <v>36</v>
      </c>
      <c r="O25" s="5" t="s">
        <v>37</v>
      </c>
      <c r="P25" s="5" t="s">
        <v>29</v>
      </c>
      <c r="Q25" s="5" t="s">
        <v>38</v>
      </c>
      <c r="R25" s="5" t="s">
        <v>29</v>
      </c>
      <c r="S25" s="5" t="s">
        <v>29</v>
      </c>
      <c r="T25" s="5" t="s">
        <v>29</v>
      </c>
      <c r="U25" s="5" t="s">
        <v>29</v>
      </c>
      <c r="V25" s="5" t="s">
        <v>47</v>
      </c>
      <c r="W25" s="5" t="s">
        <v>29</v>
      </c>
    </row>
    <row r="26" customFormat="false" ht="23.25" hidden="false" customHeight="true" outlineLevel="0" collapsed="false">
      <c r="A26" s="5" t="s">
        <v>151</v>
      </c>
      <c r="B26" s="5" t="s">
        <v>152</v>
      </c>
      <c r="C26" s="5" t="s">
        <v>153</v>
      </c>
      <c r="D26" s="5" t="s">
        <v>95</v>
      </c>
      <c r="E26" s="5" t="s">
        <v>47</v>
      </c>
      <c r="F26" s="5" t="s">
        <v>29</v>
      </c>
      <c r="G26" s="5" t="s">
        <v>100</v>
      </c>
      <c r="H26" s="5" t="s">
        <v>145</v>
      </c>
      <c r="I26" s="5" t="s">
        <v>90</v>
      </c>
      <c r="J26" s="5" t="s">
        <v>146</v>
      </c>
      <c r="K26" s="5" t="s">
        <v>34</v>
      </c>
      <c r="L26" s="5" t="s">
        <v>35</v>
      </c>
      <c r="M26" s="6" t="n">
        <v>46182</v>
      </c>
      <c r="N26" s="5" t="s">
        <v>36</v>
      </c>
      <c r="O26" s="5" t="s">
        <v>37</v>
      </c>
      <c r="P26" s="5" t="s">
        <v>29</v>
      </c>
      <c r="Q26" s="5" t="s">
        <v>66</v>
      </c>
      <c r="R26" s="5" t="s">
        <v>29</v>
      </c>
      <c r="S26" s="5" t="s">
        <v>29</v>
      </c>
      <c r="T26" s="5" t="s">
        <v>29</v>
      </c>
      <c r="U26" s="5" t="s">
        <v>29</v>
      </c>
      <c r="V26" s="5" t="s">
        <v>29</v>
      </c>
      <c r="W26" s="5" t="s">
        <v>29</v>
      </c>
    </row>
    <row r="27" customFormat="false" ht="23.25" hidden="false" customHeight="true" outlineLevel="0" collapsed="false">
      <c r="A27" s="5" t="s">
        <v>154</v>
      </c>
      <c r="B27" s="5" t="s">
        <v>155</v>
      </c>
      <c r="C27" s="5" t="s">
        <v>156</v>
      </c>
      <c r="D27" s="5" t="s">
        <v>144</v>
      </c>
      <c r="E27" s="5" t="s">
        <v>47</v>
      </c>
      <c r="F27" s="5" t="s">
        <v>29</v>
      </c>
      <c r="G27" s="5" t="s">
        <v>100</v>
      </c>
      <c r="H27" s="5" t="s">
        <v>145</v>
      </c>
      <c r="I27" s="5" t="s">
        <v>90</v>
      </c>
      <c r="J27" s="5" t="s">
        <v>146</v>
      </c>
      <c r="K27" s="5" t="s">
        <v>34</v>
      </c>
      <c r="L27" s="5" t="s">
        <v>35</v>
      </c>
      <c r="M27" s="6" t="n">
        <v>46129</v>
      </c>
      <c r="N27" s="5" t="s">
        <v>36</v>
      </c>
      <c r="O27" s="5" t="s">
        <v>37</v>
      </c>
      <c r="P27" s="5" t="s">
        <v>29</v>
      </c>
      <c r="Q27" s="5" t="s">
        <v>66</v>
      </c>
      <c r="R27" s="5" t="s">
        <v>29</v>
      </c>
      <c r="S27" s="5" t="s">
        <v>29</v>
      </c>
      <c r="T27" s="5" t="s">
        <v>29</v>
      </c>
      <c r="U27" s="5" t="s">
        <v>29</v>
      </c>
      <c r="V27" s="5" t="s">
        <v>47</v>
      </c>
      <c r="W27" s="5" t="s">
        <v>29</v>
      </c>
    </row>
    <row r="28" customFormat="false" ht="23.25" hidden="false" customHeight="true" outlineLevel="0" collapsed="false">
      <c r="A28" s="5" t="s">
        <v>157</v>
      </c>
      <c r="B28" s="5" t="s">
        <v>158</v>
      </c>
      <c r="C28" s="5" t="s">
        <v>159</v>
      </c>
      <c r="D28" s="5" t="s">
        <v>160</v>
      </c>
      <c r="E28" s="5" t="s">
        <v>47</v>
      </c>
      <c r="F28" s="5" t="s">
        <v>47</v>
      </c>
      <c r="G28" s="5" t="s">
        <v>100</v>
      </c>
      <c r="H28" s="5" t="s">
        <v>161</v>
      </c>
      <c r="I28" s="5" t="s">
        <v>90</v>
      </c>
      <c r="J28" s="5" t="s">
        <v>162</v>
      </c>
      <c r="K28" s="5" t="s">
        <v>78</v>
      </c>
      <c r="L28" s="5" t="s">
        <v>35</v>
      </c>
      <c r="M28" s="6" t="n">
        <v>46086</v>
      </c>
      <c r="N28" s="5" t="s">
        <v>71</v>
      </c>
      <c r="O28" s="5" t="s">
        <v>37</v>
      </c>
      <c r="P28" s="5" t="s">
        <v>47</v>
      </c>
      <c r="Q28" s="5"/>
      <c r="R28" s="5" t="s">
        <v>29</v>
      </c>
      <c r="S28" s="5" t="s">
        <v>47</v>
      </c>
      <c r="T28" s="5" t="s">
        <v>47</v>
      </c>
      <c r="U28" s="5" t="s">
        <v>29</v>
      </c>
      <c r="V28" s="5" t="s">
        <v>47</v>
      </c>
      <c r="W28" s="5" t="s">
        <v>29</v>
      </c>
    </row>
    <row r="29" customFormat="false" ht="23.25" hidden="false" customHeight="true" outlineLevel="0" collapsed="false">
      <c r="A29" s="5" t="s">
        <v>163</v>
      </c>
      <c r="B29" s="5" t="s">
        <v>164</v>
      </c>
      <c r="C29" s="5" t="s">
        <v>165</v>
      </c>
      <c r="D29" s="5" t="s">
        <v>166</v>
      </c>
      <c r="E29" s="5" t="s">
        <v>47</v>
      </c>
      <c r="F29" s="5" t="s">
        <v>29</v>
      </c>
      <c r="G29" s="5" t="s">
        <v>100</v>
      </c>
      <c r="H29" s="5" t="s">
        <v>145</v>
      </c>
      <c r="I29" s="5" t="s">
        <v>123</v>
      </c>
      <c r="J29" s="5" t="s">
        <v>106</v>
      </c>
      <c r="K29" s="5" t="s">
        <v>107</v>
      </c>
      <c r="L29" s="5" t="s">
        <v>35</v>
      </c>
      <c r="M29" s="6" t="n">
        <v>45924</v>
      </c>
      <c r="N29" s="5" t="s">
        <v>108</v>
      </c>
      <c r="O29" s="5" t="s">
        <v>108</v>
      </c>
      <c r="P29" s="5" t="s">
        <v>47</v>
      </c>
      <c r="Q29" s="5"/>
      <c r="R29" s="5" t="s">
        <v>47</v>
      </c>
      <c r="S29" s="5" t="s">
        <v>47</v>
      </c>
      <c r="T29" s="5" t="s">
        <v>47</v>
      </c>
      <c r="U29" s="5" t="s">
        <v>47</v>
      </c>
      <c r="V29" s="5" t="s">
        <v>47</v>
      </c>
      <c r="W29" s="5" t="s">
        <v>47</v>
      </c>
    </row>
    <row r="30" customFormat="false" ht="23.25" hidden="false" customHeight="true" outlineLevel="0" collapsed="false">
      <c r="A30" s="5" t="s">
        <v>167</v>
      </c>
      <c r="B30" s="5" t="s">
        <v>168</v>
      </c>
      <c r="C30" s="5" t="s">
        <v>169</v>
      </c>
      <c r="D30" s="5" t="s">
        <v>170</v>
      </c>
      <c r="E30" s="5" t="s">
        <v>47</v>
      </c>
      <c r="F30" s="5" t="s">
        <v>29</v>
      </c>
      <c r="G30" s="5" t="s">
        <v>100</v>
      </c>
      <c r="H30" s="5" t="s">
        <v>171</v>
      </c>
      <c r="I30" s="5" t="s">
        <v>90</v>
      </c>
      <c r="J30" s="5" t="s">
        <v>172</v>
      </c>
      <c r="K30" s="5" t="s">
        <v>78</v>
      </c>
      <c r="L30" s="5" t="s">
        <v>35</v>
      </c>
      <c r="M30" s="6" t="n">
        <v>46142</v>
      </c>
      <c r="N30" s="5" t="s">
        <v>71</v>
      </c>
      <c r="O30" s="5" t="s">
        <v>37</v>
      </c>
      <c r="P30" s="5" t="s">
        <v>29</v>
      </c>
      <c r="Q30" s="5" t="s">
        <v>66</v>
      </c>
      <c r="R30" s="5" t="s">
        <v>29</v>
      </c>
      <c r="S30" s="5" t="s">
        <v>29</v>
      </c>
      <c r="T30" s="5" t="s">
        <v>47</v>
      </c>
      <c r="U30" s="5" t="s">
        <v>29</v>
      </c>
      <c r="V30" s="5" t="s">
        <v>47</v>
      </c>
      <c r="W30" s="5" t="s">
        <v>29</v>
      </c>
    </row>
    <row r="31" customFormat="false" ht="23.25" hidden="false" customHeight="true" outlineLevel="0" collapsed="false">
      <c r="A31" s="5" t="s">
        <v>173</v>
      </c>
      <c r="B31" s="5" t="s">
        <v>174</v>
      </c>
      <c r="C31" s="5" t="s">
        <v>175</v>
      </c>
      <c r="D31" s="5" t="s">
        <v>176</v>
      </c>
      <c r="E31" s="5" t="s">
        <v>47</v>
      </c>
      <c r="F31" s="5" t="s">
        <v>47</v>
      </c>
      <c r="G31" s="5" t="s">
        <v>100</v>
      </c>
      <c r="H31" s="5" t="s">
        <v>177</v>
      </c>
      <c r="I31" s="5" t="s">
        <v>90</v>
      </c>
      <c r="J31" s="5" t="s">
        <v>178</v>
      </c>
      <c r="K31" s="5" t="s">
        <v>78</v>
      </c>
      <c r="L31" s="5" t="s">
        <v>35</v>
      </c>
      <c r="M31" s="6" t="n">
        <v>46057</v>
      </c>
      <c r="N31" s="5" t="s">
        <v>71</v>
      </c>
      <c r="O31" s="5" t="s">
        <v>37</v>
      </c>
      <c r="P31" s="5" t="s">
        <v>47</v>
      </c>
      <c r="Q31" s="5"/>
      <c r="R31" s="5" t="s">
        <v>29</v>
      </c>
      <c r="S31" s="5" t="s">
        <v>47</v>
      </c>
      <c r="T31" s="5" t="s">
        <v>47</v>
      </c>
      <c r="U31" s="5" t="s">
        <v>29</v>
      </c>
      <c r="V31" s="5" t="s">
        <v>47</v>
      </c>
      <c r="W31" s="5" t="s">
        <v>29</v>
      </c>
    </row>
    <row r="32" customFormat="false" ht="23.25" hidden="false" customHeight="true" outlineLevel="0" collapsed="false">
      <c r="A32" s="5" t="s">
        <v>179</v>
      </c>
      <c r="B32" s="5" t="s">
        <v>180</v>
      </c>
      <c r="C32" s="5" t="s">
        <v>181</v>
      </c>
      <c r="D32" s="5" t="s">
        <v>182</v>
      </c>
      <c r="E32" s="5" t="s">
        <v>47</v>
      </c>
      <c r="F32" s="5" t="s">
        <v>29</v>
      </c>
      <c r="G32" s="5" t="s">
        <v>100</v>
      </c>
      <c r="H32" s="5" t="s">
        <v>171</v>
      </c>
      <c r="I32" s="5" t="s">
        <v>123</v>
      </c>
      <c r="J32" s="5" t="s">
        <v>172</v>
      </c>
      <c r="K32" s="5" t="s">
        <v>78</v>
      </c>
      <c r="L32" s="5" t="s">
        <v>35</v>
      </c>
      <c r="M32" s="6" t="n">
        <v>46168</v>
      </c>
      <c r="N32" s="5" t="s">
        <v>71</v>
      </c>
      <c r="O32" s="5" t="s">
        <v>37</v>
      </c>
      <c r="P32" s="5" t="s">
        <v>47</v>
      </c>
      <c r="Q32" s="5"/>
      <c r="R32" s="5" t="s">
        <v>29</v>
      </c>
      <c r="S32" s="5" t="s">
        <v>29</v>
      </c>
      <c r="T32" s="5" t="s">
        <v>47</v>
      </c>
      <c r="U32" s="5" t="s">
        <v>29</v>
      </c>
      <c r="V32" s="5" t="s">
        <v>47</v>
      </c>
      <c r="W32" s="5" t="s">
        <v>29</v>
      </c>
    </row>
    <row r="33" customFormat="false" ht="23.25" hidden="false" customHeight="true" outlineLevel="0" collapsed="false">
      <c r="A33" s="5" t="s">
        <v>183</v>
      </c>
      <c r="B33" s="5" t="s">
        <v>184</v>
      </c>
      <c r="C33" s="5" t="s">
        <v>185</v>
      </c>
      <c r="D33" s="5" t="s">
        <v>186</v>
      </c>
      <c r="E33" s="5" t="s">
        <v>47</v>
      </c>
      <c r="F33" s="5" t="s">
        <v>47</v>
      </c>
      <c r="G33" s="5" t="s">
        <v>100</v>
      </c>
      <c r="H33" s="5" t="s">
        <v>187</v>
      </c>
      <c r="I33" s="5" t="s">
        <v>53</v>
      </c>
      <c r="J33" s="5" t="s">
        <v>188</v>
      </c>
      <c r="K33" s="5" t="s">
        <v>34</v>
      </c>
      <c r="L33" s="5" t="s">
        <v>35</v>
      </c>
      <c r="M33" s="6" t="n">
        <v>46185</v>
      </c>
      <c r="N33" s="5" t="s">
        <v>36</v>
      </c>
      <c r="O33" s="5" t="s">
        <v>37</v>
      </c>
      <c r="P33" s="5" t="s">
        <v>29</v>
      </c>
      <c r="Q33" s="5" t="s">
        <v>38</v>
      </c>
      <c r="R33" s="5" t="s">
        <v>29</v>
      </c>
      <c r="S33" s="5" t="s">
        <v>29</v>
      </c>
      <c r="T33" s="5" t="s">
        <v>47</v>
      </c>
      <c r="U33" s="5" t="s">
        <v>29</v>
      </c>
      <c r="V33" s="5" t="s">
        <v>47</v>
      </c>
      <c r="W33" s="5" t="s">
        <v>29</v>
      </c>
    </row>
    <row r="34" customFormat="false" ht="23.25" hidden="false" customHeight="true" outlineLevel="0" collapsed="false">
      <c r="A34" s="5" t="s">
        <v>189</v>
      </c>
      <c r="B34" s="5" t="s">
        <v>190</v>
      </c>
      <c r="C34" s="5" t="s">
        <v>191</v>
      </c>
      <c r="D34" s="5" t="s">
        <v>186</v>
      </c>
      <c r="E34" s="5" t="s">
        <v>47</v>
      </c>
      <c r="F34" s="5" t="s">
        <v>47</v>
      </c>
      <c r="G34" s="5" t="s">
        <v>100</v>
      </c>
      <c r="H34" s="5" t="s">
        <v>187</v>
      </c>
      <c r="I34" s="5" t="s">
        <v>53</v>
      </c>
      <c r="J34" s="5" t="s">
        <v>188</v>
      </c>
      <c r="K34" s="5" t="s">
        <v>34</v>
      </c>
      <c r="L34" s="5" t="s">
        <v>35</v>
      </c>
      <c r="M34" s="6" t="n">
        <v>45960</v>
      </c>
      <c r="N34" s="5" t="s">
        <v>71</v>
      </c>
      <c r="O34" s="5" t="s">
        <v>37</v>
      </c>
      <c r="P34" s="5" t="s">
        <v>47</v>
      </c>
      <c r="Q34" s="5"/>
      <c r="R34" s="5" t="s">
        <v>47</v>
      </c>
      <c r="S34" s="5" t="s">
        <v>47</v>
      </c>
      <c r="T34" s="5" t="s">
        <v>47</v>
      </c>
      <c r="U34" s="5" t="s">
        <v>47</v>
      </c>
      <c r="V34" s="5" t="s">
        <v>47</v>
      </c>
      <c r="W34" s="5" t="s">
        <v>47</v>
      </c>
    </row>
    <row r="35" customFormat="false" ht="23.25" hidden="false" customHeight="true" outlineLevel="0" collapsed="false">
      <c r="A35" s="5" t="s">
        <v>192</v>
      </c>
      <c r="B35" s="5" t="s">
        <v>193</v>
      </c>
      <c r="C35" s="5" t="s">
        <v>194</v>
      </c>
      <c r="D35" s="5" t="s">
        <v>195</v>
      </c>
      <c r="E35" s="5" t="s">
        <v>47</v>
      </c>
      <c r="F35" s="5" t="s">
        <v>29</v>
      </c>
      <c r="G35" s="5" t="s">
        <v>100</v>
      </c>
      <c r="H35" s="5" t="s">
        <v>196</v>
      </c>
      <c r="I35" s="5" t="s">
        <v>123</v>
      </c>
      <c r="J35" s="5" t="s">
        <v>197</v>
      </c>
      <c r="K35" s="5" t="s">
        <v>78</v>
      </c>
      <c r="L35" s="5" t="s">
        <v>35</v>
      </c>
      <c r="M35" s="6" t="n">
        <v>46030</v>
      </c>
      <c r="N35" s="5" t="s">
        <v>71</v>
      </c>
      <c r="O35" s="5" t="s">
        <v>108</v>
      </c>
      <c r="P35" s="5" t="s">
        <v>47</v>
      </c>
      <c r="Q35" s="5"/>
      <c r="R35" s="5" t="s">
        <v>29</v>
      </c>
      <c r="S35" s="5" t="s">
        <v>47</v>
      </c>
      <c r="T35" s="5" t="s">
        <v>47</v>
      </c>
      <c r="U35" s="5" t="s">
        <v>47</v>
      </c>
      <c r="V35" s="5" t="s">
        <v>47</v>
      </c>
      <c r="W35" s="5" t="s">
        <v>29</v>
      </c>
    </row>
    <row r="36" customFormat="false" ht="23.25" hidden="false" customHeight="true" outlineLevel="0" collapsed="false">
      <c r="A36" s="5" t="s">
        <v>198</v>
      </c>
      <c r="B36" s="5" t="s">
        <v>199</v>
      </c>
      <c r="C36" s="5" t="s">
        <v>200</v>
      </c>
      <c r="D36" s="5" t="s">
        <v>201</v>
      </c>
      <c r="E36" s="5" t="s">
        <v>47</v>
      </c>
      <c r="F36" s="5" t="s">
        <v>47</v>
      </c>
      <c r="G36" s="5" t="s">
        <v>122</v>
      </c>
      <c r="H36" s="5" t="s">
        <v>202</v>
      </c>
      <c r="I36" s="5" t="s">
        <v>90</v>
      </c>
      <c r="J36" s="5" t="s">
        <v>203</v>
      </c>
      <c r="K36" s="5" t="s">
        <v>34</v>
      </c>
      <c r="L36" s="5" t="s">
        <v>35</v>
      </c>
      <c r="M36" s="6" t="n">
        <v>46144</v>
      </c>
      <c r="N36" s="5" t="s">
        <v>36</v>
      </c>
      <c r="O36" s="5" t="s">
        <v>37</v>
      </c>
      <c r="P36" s="5" t="s">
        <v>47</v>
      </c>
      <c r="Q36" s="5"/>
      <c r="R36" s="5" t="s">
        <v>29</v>
      </c>
      <c r="S36" s="5" t="s">
        <v>29</v>
      </c>
      <c r="T36" s="5" t="s">
        <v>47</v>
      </c>
      <c r="U36" s="5" t="s">
        <v>29</v>
      </c>
      <c r="V36" s="5" t="s">
        <v>47</v>
      </c>
      <c r="W36" s="5" t="s">
        <v>29</v>
      </c>
    </row>
    <row r="37" customFormat="false" ht="23.25" hidden="false" customHeight="true" outlineLevel="0" collapsed="false">
      <c r="A37" s="5" t="s">
        <v>204</v>
      </c>
      <c r="B37" s="5" t="s">
        <v>205</v>
      </c>
      <c r="C37" s="5" t="s">
        <v>206</v>
      </c>
      <c r="D37" s="5" t="s">
        <v>201</v>
      </c>
      <c r="E37" s="5" t="s">
        <v>47</v>
      </c>
      <c r="F37" s="5" t="s">
        <v>47</v>
      </c>
      <c r="G37" s="5" t="s">
        <v>122</v>
      </c>
      <c r="H37" s="5" t="s">
        <v>202</v>
      </c>
      <c r="I37" s="5" t="s">
        <v>207</v>
      </c>
      <c r="J37" s="5" t="s">
        <v>203</v>
      </c>
      <c r="K37" s="5" t="s">
        <v>34</v>
      </c>
      <c r="L37" s="5" t="s">
        <v>35</v>
      </c>
      <c r="M37" s="6" t="n">
        <v>46198</v>
      </c>
      <c r="N37" s="5" t="s">
        <v>36</v>
      </c>
      <c r="O37" s="5" t="s">
        <v>37</v>
      </c>
      <c r="P37" s="5" t="s">
        <v>47</v>
      </c>
      <c r="Q37" s="5"/>
      <c r="R37" s="5" t="s">
        <v>29</v>
      </c>
      <c r="S37" s="5" t="s">
        <v>29</v>
      </c>
      <c r="T37" s="5" t="s">
        <v>29</v>
      </c>
      <c r="U37" s="5" t="s">
        <v>29</v>
      </c>
      <c r="V37" s="5" t="s">
        <v>29</v>
      </c>
      <c r="W37" s="5" t="s">
        <v>29</v>
      </c>
    </row>
    <row r="38" customFormat="false" ht="23.25" hidden="false" customHeight="true" outlineLevel="0" collapsed="false">
      <c r="A38" s="5" t="s">
        <v>208</v>
      </c>
      <c r="B38" s="5" t="s">
        <v>209</v>
      </c>
      <c r="C38" s="5" t="s">
        <v>210</v>
      </c>
      <c r="D38" s="5" t="s">
        <v>211</v>
      </c>
      <c r="E38" s="5" t="s">
        <v>47</v>
      </c>
      <c r="F38" s="5" t="s">
        <v>47</v>
      </c>
      <c r="G38" s="5" t="s">
        <v>122</v>
      </c>
      <c r="H38" s="5" t="s">
        <v>212</v>
      </c>
      <c r="I38" s="5" t="s">
        <v>53</v>
      </c>
      <c r="J38" s="5" t="s">
        <v>213</v>
      </c>
      <c r="K38" s="5" t="s">
        <v>78</v>
      </c>
      <c r="L38" s="5" t="s">
        <v>35</v>
      </c>
      <c r="M38" s="6" t="n">
        <v>46103</v>
      </c>
      <c r="N38" s="5" t="s">
        <v>36</v>
      </c>
      <c r="O38" s="5" t="s">
        <v>37</v>
      </c>
      <c r="P38" s="5" t="s">
        <v>47</v>
      </c>
      <c r="Q38" s="5"/>
      <c r="R38" s="5" t="s">
        <v>29</v>
      </c>
      <c r="S38" s="5" t="s">
        <v>29</v>
      </c>
      <c r="T38" s="5" t="s">
        <v>47</v>
      </c>
      <c r="U38" s="5" t="s">
        <v>29</v>
      </c>
      <c r="V38" s="5" t="s">
        <v>47</v>
      </c>
      <c r="W38" s="5" t="s">
        <v>29</v>
      </c>
    </row>
    <row r="39" customFormat="false" ht="23.25" hidden="false" customHeight="true" outlineLevel="0" collapsed="false">
      <c r="A39" s="5" t="s">
        <v>214</v>
      </c>
      <c r="B39" s="5" t="s">
        <v>215</v>
      </c>
      <c r="C39" s="5" t="s">
        <v>216</v>
      </c>
      <c r="D39" s="5" t="s">
        <v>217</v>
      </c>
      <c r="E39" s="5" t="s">
        <v>29</v>
      </c>
      <c r="F39" s="5" t="s">
        <v>29</v>
      </c>
      <c r="G39" s="5" t="s">
        <v>30</v>
      </c>
      <c r="H39" s="5" t="s">
        <v>218</v>
      </c>
      <c r="I39" s="5" t="s">
        <v>53</v>
      </c>
      <c r="J39" s="5" t="s">
        <v>106</v>
      </c>
      <c r="K39" s="5" t="s">
        <v>107</v>
      </c>
      <c r="L39" s="5" t="s">
        <v>35</v>
      </c>
      <c r="M39" s="6" t="n">
        <v>45884</v>
      </c>
      <c r="N39" s="5" t="s">
        <v>108</v>
      </c>
      <c r="O39" s="5" t="s">
        <v>108</v>
      </c>
      <c r="P39" s="5" t="s">
        <v>47</v>
      </c>
      <c r="Q39" s="5" t="s">
        <v>117</v>
      </c>
      <c r="R39" s="5" t="s">
        <v>47</v>
      </c>
      <c r="S39" s="5" t="s">
        <v>47</v>
      </c>
      <c r="T39" s="5" t="s">
        <v>47</v>
      </c>
      <c r="U39" s="5" t="s">
        <v>47</v>
      </c>
      <c r="V39" s="5" t="s">
        <v>47</v>
      </c>
      <c r="W39" s="5" t="s">
        <v>47</v>
      </c>
    </row>
    <row r="40" customFormat="false" ht="23.25" hidden="false" customHeight="true" outlineLevel="0" collapsed="false">
      <c r="A40" s="7" t="s">
        <v>219</v>
      </c>
      <c r="B40" s="5" t="s">
        <v>220</v>
      </c>
      <c r="C40" s="5" t="s">
        <v>221</v>
      </c>
      <c r="D40" s="5" t="s">
        <v>222</v>
      </c>
      <c r="E40" s="5" t="s">
        <v>29</v>
      </c>
      <c r="F40" s="5" t="s">
        <v>29</v>
      </c>
      <c r="G40" s="5" t="s">
        <v>30</v>
      </c>
      <c r="H40" s="5" t="s">
        <v>223</v>
      </c>
      <c r="I40" s="5" t="s">
        <v>207</v>
      </c>
      <c r="J40" s="5" t="s">
        <v>224</v>
      </c>
      <c r="K40" s="5" t="s">
        <v>34</v>
      </c>
      <c r="L40" s="5" t="s">
        <v>35</v>
      </c>
      <c r="M40" s="6" t="n">
        <v>46187</v>
      </c>
      <c r="N40" s="5" t="s">
        <v>36</v>
      </c>
      <c r="O40" s="5" t="s">
        <v>37</v>
      </c>
      <c r="P40" s="5" t="s">
        <v>29</v>
      </c>
      <c r="Q40" s="5" t="s">
        <v>38</v>
      </c>
      <c r="R40" s="5" t="s">
        <v>29</v>
      </c>
      <c r="S40" s="5" t="s">
        <v>29</v>
      </c>
      <c r="T40" s="5" t="s">
        <v>29</v>
      </c>
      <c r="U40" s="5" t="s">
        <v>29</v>
      </c>
      <c r="V40" s="5" t="s">
        <v>47</v>
      </c>
      <c r="W40" s="5" t="s">
        <v>29</v>
      </c>
    </row>
    <row r="41" customFormat="false" ht="23.25" hidden="false" customHeight="true" outlineLevel="0" collapsed="false">
      <c r="A41" s="7" t="s">
        <v>225</v>
      </c>
      <c r="B41" s="5" t="s">
        <v>226</v>
      </c>
      <c r="C41" s="5" t="s">
        <v>227</v>
      </c>
      <c r="D41" s="5" t="s">
        <v>228</v>
      </c>
      <c r="E41" s="5" t="s">
        <v>29</v>
      </c>
      <c r="F41" s="5" t="s">
        <v>29</v>
      </c>
      <c r="G41" s="5" t="s">
        <v>30</v>
      </c>
      <c r="H41" s="5" t="s">
        <v>229</v>
      </c>
      <c r="I41" s="5" t="s">
        <v>53</v>
      </c>
      <c r="J41" s="5" t="s">
        <v>106</v>
      </c>
      <c r="K41" s="5" t="s">
        <v>107</v>
      </c>
      <c r="L41" s="5" t="s">
        <v>35</v>
      </c>
      <c r="M41" s="6" t="n">
        <v>46009</v>
      </c>
      <c r="N41" s="5" t="s">
        <v>71</v>
      </c>
      <c r="O41" s="5" t="s">
        <v>108</v>
      </c>
      <c r="P41" s="5" t="s">
        <v>47</v>
      </c>
      <c r="Q41" s="5" t="s">
        <v>117</v>
      </c>
      <c r="R41" s="5" t="s">
        <v>47</v>
      </c>
      <c r="S41" s="5" t="s">
        <v>47</v>
      </c>
      <c r="T41" s="5" t="s">
        <v>47</v>
      </c>
      <c r="U41" s="5" t="s">
        <v>47</v>
      </c>
      <c r="V41" s="5" t="s">
        <v>47</v>
      </c>
      <c r="W41" s="5" t="s">
        <v>47</v>
      </c>
    </row>
    <row r="42" customFormat="false" ht="23.25" hidden="false" customHeight="true" outlineLevel="0" collapsed="false">
      <c r="A42" s="7" t="s">
        <v>230</v>
      </c>
      <c r="B42" s="5" t="s">
        <v>231</v>
      </c>
      <c r="C42" s="5" t="s">
        <v>232</v>
      </c>
      <c r="D42" s="5" t="s">
        <v>233</v>
      </c>
      <c r="E42" s="5" t="s">
        <v>47</v>
      </c>
      <c r="F42" s="5" t="s">
        <v>29</v>
      </c>
      <c r="G42" s="5" t="s">
        <v>30</v>
      </c>
      <c r="H42" s="5" t="s">
        <v>177</v>
      </c>
      <c r="I42" s="5" t="s">
        <v>234</v>
      </c>
      <c r="J42" s="5" t="s">
        <v>235</v>
      </c>
      <c r="K42" s="5" t="s">
        <v>34</v>
      </c>
      <c r="L42" s="5" t="s">
        <v>35</v>
      </c>
      <c r="M42" s="6" t="n">
        <v>46193</v>
      </c>
      <c r="N42" s="5" t="s">
        <v>36</v>
      </c>
      <c r="O42" s="5" t="s">
        <v>37</v>
      </c>
      <c r="P42" s="5" t="s">
        <v>29</v>
      </c>
      <c r="Q42" s="5" t="s">
        <v>38</v>
      </c>
      <c r="R42" s="5" t="s">
        <v>29</v>
      </c>
      <c r="S42" s="5" t="s">
        <v>29</v>
      </c>
      <c r="T42" s="5" t="s">
        <v>29</v>
      </c>
      <c r="U42" s="5" t="s">
        <v>29</v>
      </c>
      <c r="V42" s="5" t="s">
        <v>29</v>
      </c>
      <c r="W42" s="5" t="s">
        <v>29</v>
      </c>
    </row>
    <row r="43" customFormat="false" ht="23.25" hidden="false" customHeight="true" outlineLevel="0" collapsed="false">
      <c r="A43" s="7" t="s">
        <v>236</v>
      </c>
      <c r="B43" s="5" t="s">
        <v>237</v>
      </c>
      <c r="C43" s="5" t="s">
        <v>238</v>
      </c>
      <c r="D43" s="5" t="s">
        <v>239</v>
      </c>
      <c r="E43" s="5" t="s">
        <v>47</v>
      </c>
      <c r="F43" s="5" t="s">
        <v>47</v>
      </c>
      <c r="G43" s="5" t="s">
        <v>100</v>
      </c>
      <c r="H43" s="5" t="s">
        <v>202</v>
      </c>
      <c r="I43" s="5" t="s">
        <v>234</v>
      </c>
      <c r="J43" s="5" t="s">
        <v>240</v>
      </c>
      <c r="K43" s="5" t="s">
        <v>34</v>
      </c>
      <c r="L43" s="5" t="s">
        <v>35</v>
      </c>
      <c r="M43" s="6" t="n">
        <v>46153</v>
      </c>
      <c r="N43" s="5" t="s">
        <v>36</v>
      </c>
      <c r="O43" s="5" t="s">
        <v>37</v>
      </c>
      <c r="P43" s="5" t="s">
        <v>29</v>
      </c>
      <c r="Q43" s="5" t="s">
        <v>66</v>
      </c>
      <c r="R43" s="5" t="s">
        <v>29</v>
      </c>
      <c r="S43" s="5" t="s">
        <v>29</v>
      </c>
      <c r="T43" s="5" t="s">
        <v>29</v>
      </c>
      <c r="U43" s="5" t="s">
        <v>29</v>
      </c>
      <c r="V43" s="5" t="s">
        <v>29</v>
      </c>
      <c r="W43" s="5" t="s">
        <v>29</v>
      </c>
    </row>
    <row r="44" customFormat="false" ht="23.85" hidden="false" customHeight="false" outlineLevel="0" collapsed="false">
      <c r="A44" s="7" t="s">
        <v>241</v>
      </c>
      <c r="B44" s="5" t="s">
        <v>242</v>
      </c>
      <c r="C44" s="5" t="s">
        <v>243</v>
      </c>
      <c r="D44" s="5" t="s">
        <v>244</v>
      </c>
      <c r="E44" s="5" t="s">
        <v>47</v>
      </c>
      <c r="F44" s="5" t="s">
        <v>29</v>
      </c>
      <c r="G44" s="5" t="s">
        <v>100</v>
      </c>
      <c r="H44" s="5" t="s">
        <v>223</v>
      </c>
      <c r="I44" s="5" t="s">
        <v>53</v>
      </c>
      <c r="J44" s="5" t="s">
        <v>245</v>
      </c>
      <c r="K44" s="5" t="s">
        <v>78</v>
      </c>
      <c r="L44" s="5" t="s">
        <v>35</v>
      </c>
      <c r="M44" s="6" t="n">
        <v>46115</v>
      </c>
      <c r="N44" s="5" t="s">
        <v>71</v>
      </c>
      <c r="O44" s="5" t="s">
        <v>37</v>
      </c>
      <c r="P44" s="5" t="s">
        <v>47</v>
      </c>
      <c r="Q44" s="5"/>
      <c r="R44" s="5" t="s">
        <v>29</v>
      </c>
      <c r="S44" s="5" t="s">
        <v>29</v>
      </c>
      <c r="T44" s="5" t="s">
        <v>47</v>
      </c>
      <c r="U44" s="5" t="s">
        <v>29</v>
      </c>
      <c r="V44" s="5" t="s">
        <v>47</v>
      </c>
      <c r="W44" s="5" t="s">
        <v>29</v>
      </c>
    </row>
    <row r="45" customFormat="false" ht="23.85" hidden="false" customHeight="false" outlineLevel="0" collapsed="false">
      <c r="A45" s="7" t="s">
        <v>246</v>
      </c>
      <c r="B45" s="5" t="s">
        <v>247</v>
      </c>
      <c r="C45" s="5" t="s">
        <v>248</v>
      </c>
      <c r="D45" s="5" t="s">
        <v>249</v>
      </c>
      <c r="E45" s="5" t="s">
        <v>47</v>
      </c>
      <c r="F45" s="5" t="s">
        <v>29</v>
      </c>
      <c r="G45" s="5" t="s">
        <v>100</v>
      </c>
      <c r="H45" s="5" t="s">
        <v>101</v>
      </c>
      <c r="I45" s="5" t="s">
        <v>53</v>
      </c>
      <c r="J45" s="5" t="s">
        <v>106</v>
      </c>
      <c r="K45" s="5" t="s">
        <v>107</v>
      </c>
      <c r="L45" s="5" t="s">
        <v>35</v>
      </c>
      <c r="M45" s="6" t="n">
        <v>45988</v>
      </c>
      <c r="N45" s="5" t="s">
        <v>71</v>
      </c>
      <c r="O45" s="5" t="s">
        <v>108</v>
      </c>
      <c r="P45" s="5" t="s">
        <v>47</v>
      </c>
      <c r="Q45" s="5"/>
      <c r="R45" s="5" t="s">
        <v>47</v>
      </c>
      <c r="S45" s="5" t="s">
        <v>47</v>
      </c>
      <c r="T45" s="5" t="s">
        <v>47</v>
      </c>
      <c r="U45" s="5" t="s">
        <v>47</v>
      </c>
      <c r="V45" s="5" t="s">
        <v>47</v>
      </c>
      <c r="W45" s="5" t="s">
        <v>47</v>
      </c>
    </row>
    <row r="46" customFormat="false" ht="23.85" hidden="false" customHeight="false" outlineLevel="0" collapsed="false">
      <c r="A46" s="7" t="s">
        <v>250</v>
      </c>
      <c r="B46" s="5" t="s">
        <v>251</v>
      </c>
      <c r="C46" s="5" t="s">
        <v>252</v>
      </c>
      <c r="D46" s="5" t="s">
        <v>253</v>
      </c>
      <c r="E46" s="5" t="s">
        <v>47</v>
      </c>
      <c r="F46" s="5" t="s">
        <v>29</v>
      </c>
      <c r="G46" s="5" t="s">
        <v>30</v>
      </c>
      <c r="H46" s="5" t="s">
        <v>254</v>
      </c>
      <c r="I46" s="5" t="s">
        <v>32</v>
      </c>
      <c r="J46" s="5" t="s">
        <v>255</v>
      </c>
      <c r="K46" s="5" t="s">
        <v>34</v>
      </c>
      <c r="L46" s="5" t="s">
        <v>35</v>
      </c>
      <c r="M46" s="6" t="n">
        <v>46148</v>
      </c>
      <c r="N46" s="5" t="s">
        <v>36</v>
      </c>
      <c r="O46" s="5" t="s">
        <v>37</v>
      </c>
      <c r="P46" s="5" t="s">
        <v>29</v>
      </c>
      <c r="Q46" s="5" t="s">
        <v>66</v>
      </c>
      <c r="R46" s="5" t="s">
        <v>29</v>
      </c>
      <c r="S46" s="5" t="s">
        <v>29</v>
      </c>
      <c r="T46" s="5" t="s">
        <v>29</v>
      </c>
      <c r="U46" s="5" t="s">
        <v>29</v>
      </c>
      <c r="V46" s="5" t="s">
        <v>47</v>
      </c>
      <c r="W46" s="5" t="s">
        <v>29</v>
      </c>
    </row>
    <row r="47" customFormat="false" ht="23.85" hidden="false" customHeight="false" outlineLevel="0" collapsed="false">
      <c r="A47" s="7" t="s">
        <v>256</v>
      </c>
      <c r="B47" s="5" t="s">
        <v>257</v>
      </c>
      <c r="C47" s="5" t="s">
        <v>258</v>
      </c>
      <c r="D47" s="5" t="s">
        <v>259</v>
      </c>
      <c r="E47" s="5" t="s">
        <v>47</v>
      </c>
      <c r="F47" s="5" t="s">
        <v>47</v>
      </c>
      <c r="G47" s="5" t="s">
        <v>100</v>
      </c>
      <c r="H47" s="5" t="s">
        <v>260</v>
      </c>
      <c r="I47" s="5" t="s">
        <v>207</v>
      </c>
      <c r="J47" s="5" t="s">
        <v>203</v>
      </c>
      <c r="K47" s="5" t="s">
        <v>34</v>
      </c>
      <c r="L47" s="5" t="s">
        <v>35</v>
      </c>
      <c r="M47" s="6" t="n">
        <v>46195</v>
      </c>
      <c r="N47" s="5" t="s">
        <v>36</v>
      </c>
      <c r="O47" s="5" t="s">
        <v>37</v>
      </c>
      <c r="P47" s="5" t="s">
        <v>47</v>
      </c>
      <c r="Q47" s="5"/>
      <c r="R47" s="5" t="s">
        <v>29</v>
      </c>
      <c r="S47" s="5" t="s">
        <v>29</v>
      </c>
      <c r="T47" s="5" t="s">
        <v>29</v>
      </c>
      <c r="U47" s="5" t="s">
        <v>29</v>
      </c>
      <c r="V47" s="5" t="s">
        <v>47</v>
      </c>
      <c r="W47" s="5" t="s">
        <v>29</v>
      </c>
    </row>
    <row r="48" customFormat="false" ht="23.85" hidden="false" customHeight="false" outlineLevel="0" collapsed="false">
      <c r="A48" s="7" t="s">
        <v>261</v>
      </c>
      <c r="B48" s="5" t="s">
        <v>262</v>
      </c>
      <c r="C48" s="5" t="s">
        <v>263</v>
      </c>
      <c r="D48" s="5" t="s">
        <v>264</v>
      </c>
      <c r="E48" s="5" t="s">
        <v>47</v>
      </c>
      <c r="F48" s="5" t="s">
        <v>29</v>
      </c>
      <c r="G48" s="5" t="s">
        <v>30</v>
      </c>
      <c r="H48" s="5" t="s">
        <v>260</v>
      </c>
      <c r="I48" s="5" t="s">
        <v>234</v>
      </c>
      <c r="J48" s="5" t="s">
        <v>106</v>
      </c>
      <c r="K48" s="5" t="s">
        <v>107</v>
      </c>
      <c r="L48" s="5" t="s">
        <v>35</v>
      </c>
      <c r="M48" s="6" t="n">
        <v>46053</v>
      </c>
      <c r="N48" s="5" t="s">
        <v>71</v>
      </c>
      <c r="O48" s="5" t="s">
        <v>37</v>
      </c>
      <c r="P48" s="5" t="s">
        <v>47</v>
      </c>
      <c r="Q48" s="5"/>
      <c r="R48" s="5" t="s">
        <v>47</v>
      </c>
      <c r="S48" s="5" t="s">
        <v>47</v>
      </c>
      <c r="T48" s="5" t="s">
        <v>47</v>
      </c>
      <c r="U48" s="5" t="s">
        <v>47</v>
      </c>
      <c r="V48" s="5" t="s">
        <v>47</v>
      </c>
      <c r="W48" s="5" t="s">
        <v>47</v>
      </c>
    </row>
  </sheetData>
  <mergeCells count="2">
    <mergeCell ref="A1:W1"/>
    <mergeCell ref="A2:W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36"/>
    <col collapsed="false" customWidth="true" hidden="false" outlineLevel="0" max="3" min="3" style="1" width="16"/>
    <col collapsed="false" customWidth="true" hidden="false" outlineLevel="0" max="4" min="4" style="1" width="13"/>
    <col collapsed="false" customWidth="true" hidden="false" outlineLevel="0" max="5" min="5" style="1" width="11"/>
    <col collapsed="false" customWidth="true" hidden="false" outlineLevel="0" max="6" min="6" style="1" width="34"/>
    <col collapsed="false" customWidth="true" hidden="false" outlineLevel="0" max="7" min="7" style="1" width="40"/>
  </cols>
  <sheetData>
    <row r="1" customFormat="false" ht="15.75" hidden="false" customHeight="true" outlineLevel="0" collapsed="false">
      <c r="A1" s="2" t="s">
        <v>265</v>
      </c>
      <c r="B1" s="2"/>
      <c r="C1" s="2"/>
      <c r="D1" s="2"/>
      <c r="E1" s="2"/>
      <c r="F1" s="2"/>
      <c r="G1" s="2"/>
    </row>
    <row r="3" customFormat="false" ht="23.25" hidden="false" customHeight="true" outlineLevel="0" collapsed="false">
      <c r="A3" s="4" t="s">
        <v>266</v>
      </c>
      <c r="B3" s="4" t="s">
        <v>267</v>
      </c>
      <c r="C3" s="4" t="s">
        <v>268</v>
      </c>
      <c r="D3" s="4" t="s">
        <v>269</v>
      </c>
      <c r="E3" s="4" t="s">
        <v>16</v>
      </c>
      <c r="F3" s="4" t="s">
        <v>270</v>
      </c>
      <c r="G3" s="4" t="s">
        <v>271</v>
      </c>
    </row>
    <row r="4" customFormat="false" ht="23.25" hidden="false" customHeight="true" outlineLevel="0" collapsed="false">
      <c r="A4" s="5" t="s">
        <v>272</v>
      </c>
      <c r="B4" s="5" t="s">
        <v>273</v>
      </c>
      <c r="C4" s="5" t="s">
        <v>274</v>
      </c>
      <c r="D4" s="5" t="s">
        <v>29</v>
      </c>
      <c r="E4" s="5" t="s">
        <v>37</v>
      </c>
      <c r="F4" s="5" t="s">
        <v>260</v>
      </c>
      <c r="G4" s="5" t="s">
        <v>275</v>
      </c>
    </row>
    <row r="5" customFormat="false" ht="23.25" hidden="false" customHeight="true" outlineLevel="0" collapsed="false">
      <c r="A5" s="5" t="s">
        <v>276</v>
      </c>
      <c r="B5" s="5" t="s">
        <v>277</v>
      </c>
      <c r="C5" s="5" t="s">
        <v>274</v>
      </c>
      <c r="D5" s="5" t="s">
        <v>29</v>
      </c>
      <c r="E5" s="5" t="s">
        <v>37</v>
      </c>
      <c r="F5" s="5" t="s">
        <v>260</v>
      </c>
      <c r="G5" s="5" t="s">
        <v>278</v>
      </c>
    </row>
    <row r="6" customFormat="false" ht="23.25" hidden="false" customHeight="true" outlineLevel="0" collapsed="false">
      <c r="A6" s="5" t="s">
        <v>279</v>
      </c>
      <c r="B6" s="5" t="s">
        <v>280</v>
      </c>
      <c r="C6" s="5" t="s">
        <v>274</v>
      </c>
      <c r="D6" s="5" t="s">
        <v>29</v>
      </c>
      <c r="E6" s="5" t="s">
        <v>37</v>
      </c>
      <c r="F6" s="5" t="s">
        <v>260</v>
      </c>
      <c r="G6" s="5" t="s">
        <v>281</v>
      </c>
    </row>
    <row r="7" customFormat="false" ht="15" hidden="false" customHeight="true" outlineLevel="0" collapsed="false">
      <c r="A7" s="5" t="s">
        <v>282</v>
      </c>
      <c r="B7" s="5" t="s">
        <v>283</v>
      </c>
      <c r="C7" s="5" t="s">
        <v>284</v>
      </c>
      <c r="D7" s="5" t="s">
        <v>29</v>
      </c>
      <c r="E7" s="5" t="s">
        <v>37</v>
      </c>
      <c r="F7" s="5" t="s">
        <v>285</v>
      </c>
      <c r="G7" s="5" t="s">
        <v>286</v>
      </c>
    </row>
    <row r="8" customFormat="false" ht="15" hidden="false" customHeight="true" outlineLevel="0" collapsed="false">
      <c r="A8" s="5" t="s">
        <v>287</v>
      </c>
      <c r="B8" s="5" t="s">
        <v>288</v>
      </c>
      <c r="C8" s="5" t="s">
        <v>284</v>
      </c>
      <c r="D8" s="5" t="s">
        <v>29</v>
      </c>
      <c r="E8" s="5" t="s">
        <v>37</v>
      </c>
      <c r="F8" s="5" t="s">
        <v>285</v>
      </c>
      <c r="G8" s="5" t="s">
        <v>289</v>
      </c>
    </row>
    <row r="9" customFormat="false" ht="15" hidden="false" customHeight="true" outlineLevel="0" collapsed="false">
      <c r="A9" s="5" t="s">
        <v>290</v>
      </c>
      <c r="B9" s="5" t="s">
        <v>291</v>
      </c>
      <c r="C9" s="5" t="s">
        <v>284</v>
      </c>
      <c r="D9" s="5" t="s">
        <v>29</v>
      </c>
      <c r="E9" s="5" t="s">
        <v>37</v>
      </c>
      <c r="F9" s="5" t="s">
        <v>285</v>
      </c>
      <c r="G9" s="5" t="s">
        <v>292</v>
      </c>
    </row>
    <row r="10" customFormat="false" ht="15" hidden="false" customHeight="true" outlineLevel="0" collapsed="false">
      <c r="A10" s="5" t="s">
        <v>293</v>
      </c>
      <c r="B10" s="5" t="s">
        <v>294</v>
      </c>
      <c r="C10" s="5" t="s">
        <v>295</v>
      </c>
      <c r="D10" s="5" t="s">
        <v>29</v>
      </c>
      <c r="E10" s="5" t="s">
        <v>37</v>
      </c>
      <c r="F10" s="5" t="s">
        <v>64</v>
      </c>
      <c r="G10" s="5" t="s">
        <v>296</v>
      </c>
    </row>
    <row r="11" customFormat="false" ht="15" hidden="false" customHeight="true" outlineLevel="0" collapsed="false">
      <c r="A11" s="5" t="s">
        <v>297</v>
      </c>
      <c r="B11" s="5" t="s">
        <v>298</v>
      </c>
      <c r="C11" s="5" t="s">
        <v>274</v>
      </c>
      <c r="D11" s="5" t="s">
        <v>29</v>
      </c>
      <c r="E11" s="5" t="s">
        <v>37</v>
      </c>
      <c r="F11" s="5" t="s">
        <v>76</v>
      </c>
      <c r="G11" s="5" t="s">
        <v>299</v>
      </c>
    </row>
    <row r="12" customFormat="false" ht="15" hidden="false" customHeight="true" outlineLevel="0" collapsed="false">
      <c r="A12" s="5" t="s">
        <v>300</v>
      </c>
      <c r="B12" s="5" t="s">
        <v>301</v>
      </c>
      <c r="C12" s="5" t="s">
        <v>295</v>
      </c>
      <c r="D12" s="5" t="s">
        <v>29</v>
      </c>
      <c r="E12" s="5" t="s">
        <v>37</v>
      </c>
      <c r="F12" s="5" t="s">
        <v>59</v>
      </c>
      <c r="G12" s="5" t="s">
        <v>302</v>
      </c>
    </row>
    <row r="13" customFormat="false" ht="15" hidden="false" customHeight="true" outlineLevel="0" collapsed="false">
      <c r="A13" s="5" t="s">
        <v>303</v>
      </c>
      <c r="B13" s="5" t="s">
        <v>304</v>
      </c>
      <c r="C13" s="5" t="s">
        <v>274</v>
      </c>
      <c r="D13" s="5" t="s">
        <v>29</v>
      </c>
      <c r="E13" s="5" t="s">
        <v>37</v>
      </c>
      <c r="F13" s="5" t="s">
        <v>59</v>
      </c>
      <c r="G13" s="5" t="s">
        <v>305</v>
      </c>
    </row>
    <row r="14" customFormat="false" ht="15" hidden="false" customHeight="true" outlineLevel="0" collapsed="false">
      <c r="A14" s="5" t="s">
        <v>306</v>
      </c>
      <c r="B14" s="5" t="s">
        <v>307</v>
      </c>
      <c r="C14" s="5" t="s">
        <v>295</v>
      </c>
      <c r="D14" s="5" t="s">
        <v>47</v>
      </c>
      <c r="E14" s="5" t="s">
        <v>37</v>
      </c>
      <c r="F14" s="5" t="s">
        <v>83</v>
      </c>
      <c r="G14" s="5" t="s">
        <v>308</v>
      </c>
    </row>
    <row r="15" customFormat="false" ht="15" hidden="false" customHeight="true" outlineLevel="0" collapsed="false">
      <c r="A15" s="5" t="s">
        <v>95</v>
      </c>
      <c r="B15" s="5" t="s">
        <v>309</v>
      </c>
      <c r="C15" s="5" t="s">
        <v>310</v>
      </c>
      <c r="D15" s="5" t="s">
        <v>29</v>
      </c>
      <c r="E15" s="5" t="s">
        <v>37</v>
      </c>
      <c r="F15" s="5" t="s">
        <v>145</v>
      </c>
      <c r="G15" s="5" t="s">
        <v>311</v>
      </c>
    </row>
    <row r="16" customFormat="false" ht="15" hidden="false" customHeight="true" outlineLevel="0" collapsed="false">
      <c r="A16" s="5" t="s">
        <v>312</v>
      </c>
      <c r="B16" s="5" t="s">
        <v>313</v>
      </c>
      <c r="C16" s="5" t="s">
        <v>274</v>
      </c>
      <c r="D16" s="5" t="s">
        <v>29</v>
      </c>
      <c r="E16" s="5" t="s">
        <v>37</v>
      </c>
      <c r="F16" s="5" t="s">
        <v>89</v>
      </c>
      <c r="G16" s="5" t="s">
        <v>314</v>
      </c>
    </row>
    <row r="17" customFormat="false" ht="15" hidden="false" customHeight="true" outlineLevel="0" collapsed="false">
      <c r="A17" s="5" t="s">
        <v>144</v>
      </c>
      <c r="B17" s="5" t="s">
        <v>315</v>
      </c>
      <c r="C17" s="5" t="s">
        <v>310</v>
      </c>
      <c r="D17" s="5" t="s">
        <v>29</v>
      </c>
      <c r="E17" s="5" t="s">
        <v>37</v>
      </c>
      <c r="F17" s="5" t="s">
        <v>145</v>
      </c>
      <c r="G17" s="5" t="s">
        <v>316</v>
      </c>
    </row>
    <row r="18" customFormat="false" ht="15" hidden="false" customHeight="true" outlineLevel="0" collapsed="false">
      <c r="A18" s="5" t="s">
        <v>317</v>
      </c>
      <c r="B18" s="5" t="s">
        <v>318</v>
      </c>
      <c r="C18" s="5" t="s">
        <v>310</v>
      </c>
      <c r="D18" s="5" t="s">
        <v>29</v>
      </c>
      <c r="E18" s="5" t="s">
        <v>37</v>
      </c>
      <c r="F18" s="5" t="s">
        <v>145</v>
      </c>
      <c r="G18" s="5" t="s">
        <v>319</v>
      </c>
    </row>
    <row r="19" customFormat="false" ht="23.25" hidden="false" customHeight="true" outlineLevel="0" collapsed="false">
      <c r="A19" s="5" t="s">
        <v>320</v>
      </c>
      <c r="B19" s="5" t="s">
        <v>321</v>
      </c>
      <c r="C19" s="5" t="s">
        <v>310</v>
      </c>
      <c r="D19" s="5" t="s">
        <v>29</v>
      </c>
      <c r="E19" s="5" t="s">
        <v>37</v>
      </c>
      <c r="F19" s="5" t="s">
        <v>145</v>
      </c>
      <c r="G19" s="5" t="s">
        <v>322</v>
      </c>
    </row>
    <row r="20" customFormat="false" ht="15" hidden="false" customHeight="true" outlineLevel="0" collapsed="false">
      <c r="A20" s="5" t="s">
        <v>323</v>
      </c>
      <c r="B20" s="5" t="s">
        <v>324</v>
      </c>
      <c r="C20" s="5" t="s">
        <v>310</v>
      </c>
      <c r="D20" s="5" t="s">
        <v>29</v>
      </c>
      <c r="E20" s="5" t="s">
        <v>108</v>
      </c>
      <c r="F20" s="5" t="s">
        <v>325</v>
      </c>
      <c r="G20" s="5" t="s">
        <v>326</v>
      </c>
    </row>
    <row r="21" customFormat="false" ht="15" hidden="false" customHeight="true" outlineLevel="0" collapsed="false">
      <c r="A21" s="5" t="s">
        <v>160</v>
      </c>
      <c r="B21" s="5" t="s">
        <v>327</v>
      </c>
      <c r="C21" s="5" t="s">
        <v>310</v>
      </c>
      <c r="D21" s="5" t="s">
        <v>47</v>
      </c>
      <c r="E21" s="5" t="s">
        <v>37</v>
      </c>
      <c r="F21" s="5" t="s">
        <v>161</v>
      </c>
      <c r="G21" s="5" t="s">
        <v>328</v>
      </c>
    </row>
    <row r="22" customFormat="false" ht="15" hidden="false" customHeight="true" outlineLevel="0" collapsed="false">
      <c r="A22" s="5" t="s">
        <v>166</v>
      </c>
      <c r="B22" s="5" t="s">
        <v>329</v>
      </c>
      <c r="C22" s="5" t="s">
        <v>310</v>
      </c>
      <c r="D22" s="5" t="s">
        <v>29</v>
      </c>
      <c r="E22" s="5" t="s">
        <v>108</v>
      </c>
      <c r="F22" s="5" t="s">
        <v>145</v>
      </c>
      <c r="G22" s="5" t="s">
        <v>330</v>
      </c>
    </row>
    <row r="23" customFormat="false" ht="23.25" hidden="false" customHeight="true" outlineLevel="0" collapsed="false">
      <c r="A23" s="5" t="s">
        <v>170</v>
      </c>
      <c r="B23" s="5" t="s">
        <v>331</v>
      </c>
      <c r="C23" s="5" t="s">
        <v>310</v>
      </c>
      <c r="D23" s="5" t="s">
        <v>29</v>
      </c>
      <c r="E23" s="5" t="s">
        <v>37</v>
      </c>
      <c r="F23" s="5" t="s">
        <v>171</v>
      </c>
      <c r="G23" s="5" t="s">
        <v>332</v>
      </c>
    </row>
    <row r="24" customFormat="false" ht="15" hidden="false" customHeight="true" outlineLevel="0" collapsed="false">
      <c r="A24" s="5" t="s">
        <v>176</v>
      </c>
      <c r="B24" s="5" t="s">
        <v>333</v>
      </c>
      <c r="C24" s="5" t="s">
        <v>310</v>
      </c>
      <c r="D24" s="5" t="s">
        <v>47</v>
      </c>
      <c r="E24" s="5" t="s">
        <v>37</v>
      </c>
      <c r="F24" s="5" t="s">
        <v>177</v>
      </c>
      <c r="G24" s="5" t="s">
        <v>334</v>
      </c>
    </row>
    <row r="25" customFormat="false" ht="23.25" hidden="false" customHeight="true" outlineLevel="0" collapsed="false">
      <c r="A25" s="5" t="s">
        <v>335</v>
      </c>
      <c r="B25" s="5" t="s">
        <v>336</v>
      </c>
      <c r="C25" s="5" t="s">
        <v>274</v>
      </c>
      <c r="D25" s="5" t="s">
        <v>47</v>
      </c>
      <c r="E25" s="5" t="s">
        <v>37</v>
      </c>
      <c r="F25" s="5" t="s">
        <v>171</v>
      </c>
      <c r="G25" s="5" t="s">
        <v>337</v>
      </c>
    </row>
    <row r="26" customFormat="false" ht="15" hidden="false" customHeight="true" outlineLevel="0" collapsed="false">
      <c r="A26" s="5" t="s">
        <v>121</v>
      </c>
      <c r="B26" s="5" t="s">
        <v>338</v>
      </c>
      <c r="C26" s="5" t="s">
        <v>274</v>
      </c>
      <c r="D26" s="5" t="s">
        <v>29</v>
      </c>
      <c r="E26" s="5" t="s">
        <v>37</v>
      </c>
      <c r="F26" s="5" t="s">
        <v>101</v>
      </c>
      <c r="G26" s="5" t="s">
        <v>339</v>
      </c>
    </row>
    <row r="27" customFormat="false" ht="23.25" hidden="false" customHeight="true" outlineLevel="0" collapsed="false">
      <c r="A27" s="5" t="s">
        <v>127</v>
      </c>
      <c r="B27" s="5" t="s">
        <v>340</v>
      </c>
      <c r="C27" s="5" t="s">
        <v>274</v>
      </c>
      <c r="D27" s="5" t="s">
        <v>29</v>
      </c>
      <c r="E27" s="5" t="s">
        <v>37</v>
      </c>
      <c r="F27" s="5" t="s">
        <v>128</v>
      </c>
      <c r="G27" s="5" t="s">
        <v>341</v>
      </c>
    </row>
    <row r="28" customFormat="false" ht="23.25" hidden="false" customHeight="true" outlineLevel="0" collapsed="false">
      <c r="A28" s="5" t="s">
        <v>342</v>
      </c>
      <c r="B28" s="5" t="s">
        <v>343</v>
      </c>
      <c r="C28" s="5" t="s">
        <v>310</v>
      </c>
      <c r="D28" s="5" t="s">
        <v>29</v>
      </c>
      <c r="E28" s="5" t="s">
        <v>108</v>
      </c>
      <c r="F28" s="5" t="s">
        <v>128</v>
      </c>
      <c r="G28" s="5" t="s">
        <v>344</v>
      </c>
    </row>
    <row r="29" customFormat="false" ht="15" hidden="false" customHeight="true" outlineLevel="0" collapsed="false">
      <c r="A29" s="5" t="s">
        <v>345</v>
      </c>
      <c r="B29" s="5" t="s">
        <v>346</v>
      </c>
      <c r="C29" s="5" t="s">
        <v>310</v>
      </c>
      <c r="D29" s="5" t="s">
        <v>47</v>
      </c>
      <c r="E29" s="5" t="s">
        <v>37</v>
      </c>
      <c r="F29" s="5" t="s">
        <v>138</v>
      </c>
      <c r="G29" s="5" t="s">
        <v>347</v>
      </c>
    </row>
    <row r="30" customFormat="false" ht="15" hidden="false" customHeight="true" outlineLevel="0" collapsed="false">
      <c r="A30" s="5" t="s">
        <v>348</v>
      </c>
      <c r="B30" s="5" t="s">
        <v>349</v>
      </c>
      <c r="C30" s="5" t="s">
        <v>295</v>
      </c>
      <c r="D30" s="5" t="s">
        <v>47</v>
      </c>
      <c r="E30" s="5" t="s">
        <v>108</v>
      </c>
      <c r="F30" s="5" t="s">
        <v>196</v>
      </c>
      <c r="G30" s="5" t="s">
        <v>350</v>
      </c>
    </row>
    <row r="31" customFormat="false" ht="15" hidden="false" customHeight="true" outlineLevel="0" collapsed="false">
      <c r="A31" s="5" t="s">
        <v>351</v>
      </c>
      <c r="B31" s="5" t="s">
        <v>352</v>
      </c>
      <c r="C31" s="5" t="s">
        <v>274</v>
      </c>
      <c r="D31" s="5" t="s">
        <v>29</v>
      </c>
      <c r="E31" s="5" t="s">
        <v>108</v>
      </c>
      <c r="F31" s="5" t="s">
        <v>112</v>
      </c>
      <c r="G31" s="5" t="s">
        <v>353</v>
      </c>
    </row>
    <row r="32" customFormat="false" ht="15" hidden="false" customHeight="true" outlineLevel="0" collapsed="false">
      <c r="A32" s="5" t="s">
        <v>354</v>
      </c>
      <c r="B32" s="5" t="s">
        <v>355</v>
      </c>
      <c r="C32" s="5" t="s">
        <v>274</v>
      </c>
      <c r="D32" s="5" t="s">
        <v>47</v>
      </c>
      <c r="E32" s="5" t="s">
        <v>37</v>
      </c>
      <c r="F32" s="5" t="s">
        <v>187</v>
      </c>
      <c r="G32" s="5" t="s">
        <v>356</v>
      </c>
    </row>
    <row r="33" customFormat="false" ht="15" hidden="false" customHeight="true" outlineLevel="0" collapsed="false">
      <c r="A33" s="5" t="s">
        <v>357</v>
      </c>
      <c r="B33" s="5" t="s">
        <v>358</v>
      </c>
      <c r="C33" s="5" t="s">
        <v>274</v>
      </c>
      <c r="D33" s="5" t="s">
        <v>47</v>
      </c>
      <c r="E33" s="5" t="s">
        <v>37</v>
      </c>
      <c r="F33" s="5" t="s">
        <v>212</v>
      </c>
      <c r="G33" s="5" t="s">
        <v>359</v>
      </c>
    </row>
    <row r="34" customFormat="false" ht="15" hidden="false" customHeight="true" outlineLevel="0" collapsed="false">
      <c r="A34" s="5" t="s">
        <v>360</v>
      </c>
      <c r="B34" s="5" t="s">
        <v>361</v>
      </c>
      <c r="C34" s="5" t="s">
        <v>362</v>
      </c>
      <c r="D34" s="5" t="s">
        <v>47</v>
      </c>
      <c r="E34" s="5" t="s">
        <v>37</v>
      </c>
      <c r="F34" s="5" t="s">
        <v>212</v>
      </c>
      <c r="G34" s="5" t="s">
        <v>363</v>
      </c>
    </row>
    <row r="35" customFormat="false" ht="15" hidden="false" customHeight="true" outlineLevel="0" collapsed="false">
      <c r="A35" s="5" t="s">
        <v>217</v>
      </c>
      <c r="B35" s="5" t="s">
        <v>364</v>
      </c>
      <c r="C35" s="5" t="s">
        <v>274</v>
      </c>
      <c r="D35" s="5" t="s">
        <v>29</v>
      </c>
      <c r="E35" s="5" t="s">
        <v>108</v>
      </c>
      <c r="F35" s="5" t="s">
        <v>218</v>
      </c>
      <c r="G35" s="5" t="s">
        <v>365</v>
      </c>
    </row>
    <row r="36" customFormat="false" ht="15" hidden="false" customHeight="true" outlineLevel="0" collapsed="false">
      <c r="A36" s="5" t="s">
        <v>201</v>
      </c>
      <c r="B36" s="5" t="s">
        <v>366</v>
      </c>
      <c r="C36" s="5" t="s">
        <v>310</v>
      </c>
      <c r="D36" s="5" t="s">
        <v>29</v>
      </c>
      <c r="E36" s="5" t="s">
        <v>37</v>
      </c>
      <c r="F36" s="5" t="s">
        <v>202</v>
      </c>
      <c r="G36" s="5" t="s">
        <v>367</v>
      </c>
    </row>
    <row r="37" customFormat="false" ht="15" hidden="false" customHeight="false" outlineLevel="0" collapsed="false">
      <c r="A37" s="5" t="s">
        <v>368</v>
      </c>
      <c r="B37" s="5" t="s">
        <v>369</v>
      </c>
      <c r="C37" s="5" t="s">
        <v>274</v>
      </c>
      <c r="D37" s="5" t="s">
        <v>29</v>
      </c>
      <c r="E37" s="5" t="s">
        <v>37</v>
      </c>
      <c r="F37" s="5" t="s">
        <v>223</v>
      </c>
      <c r="G37" s="5" t="s">
        <v>370</v>
      </c>
    </row>
    <row r="38" customFormat="false" ht="15" hidden="false" customHeight="false" outlineLevel="0" collapsed="false">
      <c r="A38" s="5" t="s">
        <v>371</v>
      </c>
      <c r="B38" s="5" t="s">
        <v>372</v>
      </c>
      <c r="C38" s="5" t="s">
        <v>274</v>
      </c>
      <c r="D38" s="5" t="s">
        <v>29</v>
      </c>
      <c r="E38" s="5" t="s">
        <v>37</v>
      </c>
      <c r="F38" s="5" t="s">
        <v>229</v>
      </c>
      <c r="G38" s="5" t="s">
        <v>373</v>
      </c>
    </row>
    <row r="39" customFormat="false" ht="15" hidden="false" customHeight="false" outlineLevel="0" collapsed="false">
      <c r="A39" s="5" t="s">
        <v>374</v>
      </c>
      <c r="B39" s="5" t="s">
        <v>375</v>
      </c>
      <c r="C39" s="5" t="s">
        <v>295</v>
      </c>
      <c r="D39" s="5" t="s">
        <v>47</v>
      </c>
      <c r="E39" s="5" t="s">
        <v>37</v>
      </c>
      <c r="F39" s="5" t="s">
        <v>229</v>
      </c>
      <c r="G39" s="5" t="s">
        <v>376</v>
      </c>
    </row>
    <row r="40" customFormat="false" ht="15" hidden="false" customHeight="false" outlineLevel="0" collapsed="false">
      <c r="A40" s="5" t="s">
        <v>377</v>
      </c>
      <c r="B40" s="5" t="s">
        <v>378</v>
      </c>
      <c r="C40" s="5" t="s">
        <v>310</v>
      </c>
      <c r="D40" s="5" t="s">
        <v>47</v>
      </c>
      <c r="E40" s="5" t="s">
        <v>37</v>
      </c>
      <c r="F40" s="5" t="s">
        <v>202</v>
      </c>
      <c r="G40" s="5" t="s">
        <v>379</v>
      </c>
    </row>
    <row r="41" customFormat="false" ht="15" hidden="false" customHeight="false" outlineLevel="0" collapsed="false">
      <c r="A41" s="5" t="s">
        <v>380</v>
      </c>
      <c r="B41" s="5" t="s">
        <v>381</v>
      </c>
      <c r="C41" s="5" t="s">
        <v>274</v>
      </c>
      <c r="D41" s="5" t="s">
        <v>29</v>
      </c>
      <c r="E41" s="5" t="s">
        <v>37</v>
      </c>
      <c r="F41" s="5" t="s">
        <v>254</v>
      </c>
      <c r="G41" s="5" t="s">
        <v>382</v>
      </c>
    </row>
    <row r="42" customFormat="false" ht="23.85" hidden="false" customHeight="false" outlineLevel="0" collapsed="false">
      <c r="A42" s="5" t="s">
        <v>383</v>
      </c>
      <c r="B42" s="5" t="s">
        <v>384</v>
      </c>
      <c r="C42" s="5" t="s">
        <v>274</v>
      </c>
      <c r="D42" s="5" t="s">
        <v>47</v>
      </c>
      <c r="E42" s="5" t="s">
        <v>37</v>
      </c>
      <c r="F42" s="5" t="s">
        <v>260</v>
      </c>
      <c r="G42" s="5" t="s">
        <v>385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3" min="2" style="1" width="26"/>
    <col collapsed="false" customWidth="true" hidden="false" outlineLevel="0" max="4" min="4" style="1" width="12"/>
    <col collapsed="false" customWidth="true" hidden="false" outlineLevel="0" max="6" min="5" style="1" width="13"/>
  </cols>
  <sheetData>
    <row r="1" customFormat="false" ht="15.75" hidden="false" customHeight="true" outlineLevel="0" collapsed="false">
      <c r="A1" s="2" t="s">
        <v>386</v>
      </c>
      <c r="B1" s="2"/>
      <c r="C1" s="2"/>
      <c r="D1" s="2"/>
      <c r="E1" s="2"/>
      <c r="F1" s="2"/>
    </row>
    <row r="2" customFormat="false" ht="15" hidden="false" customHeight="true" outlineLevel="0" collapsed="false">
      <c r="A2" s="3" t="s">
        <v>387</v>
      </c>
      <c r="B2" s="3"/>
      <c r="C2" s="3"/>
      <c r="D2" s="3"/>
      <c r="E2" s="3"/>
      <c r="F2" s="3"/>
    </row>
    <row r="4" customFormat="false" ht="15" hidden="false" customHeight="true" outlineLevel="0" collapsed="false">
      <c r="A4" s="4" t="s">
        <v>388</v>
      </c>
      <c r="B4" s="4" t="s">
        <v>389</v>
      </c>
      <c r="C4" s="4" t="s">
        <v>390</v>
      </c>
      <c r="D4" s="4" t="s">
        <v>391</v>
      </c>
      <c r="E4" s="4" t="s">
        <v>392</v>
      </c>
      <c r="F4" s="4" t="s">
        <v>393</v>
      </c>
    </row>
    <row r="5" customFormat="false" ht="15" hidden="false" customHeight="true" outlineLevel="0" collapsed="false">
      <c r="A5" s="5" t="s">
        <v>394</v>
      </c>
      <c r="B5" s="5" t="s">
        <v>282</v>
      </c>
      <c r="C5" s="5" t="s">
        <v>25</v>
      </c>
      <c r="D5" s="5" t="s">
        <v>395</v>
      </c>
      <c r="E5" s="5" t="s">
        <v>396</v>
      </c>
      <c r="F5" s="5" t="s">
        <v>397</v>
      </c>
    </row>
    <row r="6" customFormat="false" ht="15" hidden="false" customHeight="true" outlineLevel="0" collapsed="false">
      <c r="A6" s="5" t="s">
        <v>398</v>
      </c>
      <c r="B6" s="5" t="s">
        <v>272</v>
      </c>
      <c r="C6" s="5" t="s">
        <v>25</v>
      </c>
      <c r="D6" s="5" t="s">
        <v>395</v>
      </c>
      <c r="E6" s="5" t="s">
        <v>396</v>
      </c>
      <c r="F6" s="5" t="s">
        <v>397</v>
      </c>
    </row>
    <row r="7" customFormat="false" ht="15" hidden="false" customHeight="true" outlineLevel="0" collapsed="false">
      <c r="A7" s="5" t="s">
        <v>399</v>
      </c>
      <c r="B7" s="5" t="s">
        <v>276</v>
      </c>
      <c r="C7" s="5" t="s">
        <v>25</v>
      </c>
      <c r="D7" s="5" t="s">
        <v>395</v>
      </c>
      <c r="E7" s="5" t="s">
        <v>396</v>
      </c>
      <c r="F7" s="5" t="s">
        <v>397</v>
      </c>
    </row>
    <row r="8" customFormat="false" ht="15" hidden="false" customHeight="true" outlineLevel="0" collapsed="false">
      <c r="A8" s="5" t="s">
        <v>400</v>
      </c>
      <c r="B8" s="5" t="s">
        <v>287</v>
      </c>
      <c r="C8" s="5" t="s">
        <v>39</v>
      </c>
      <c r="D8" s="5" t="s">
        <v>395</v>
      </c>
      <c r="E8" s="5" t="s">
        <v>396</v>
      </c>
      <c r="F8" s="5" t="s">
        <v>397</v>
      </c>
    </row>
    <row r="9" customFormat="false" ht="15" hidden="false" customHeight="true" outlineLevel="0" collapsed="false">
      <c r="A9" s="5" t="s">
        <v>401</v>
      </c>
      <c r="B9" s="5" t="s">
        <v>272</v>
      </c>
      <c r="C9" s="5" t="s">
        <v>39</v>
      </c>
      <c r="D9" s="5" t="s">
        <v>395</v>
      </c>
      <c r="E9" s="5" t="s">
        <v>396</v>
      </c>
      <c r="F9" s="5" t="s">
        <v>397</v>
      </c>
    </row>
    <row r="10" customFormat="false" ht="15" hidden="false" customHeight="true" outlineLevel="0" collapsed="false">
      <c r="A10" s="5" t="s">
        <v>402</v>
      </c>
      <c r="B10" s="5" t="s">
        <v>276</v>
      </c>
      <c r="C10" s="5" t="s">
        <v>39</v>
      </c>
      <c r="D10" s="5" t="s">
        <v>395</v>
      </c>
      <c r="E10" s="5" t="s">
        <v>396</v>
      </c>
      <c r="F10" s="5" t="s">
        <v>397</v>
      </c>
    </row>
    <row r="11" customFormat="false" ht="15" hidden="false" customHeight="true" outlineLevel="0" collapsed="false">
      <c r="A11" s="5" t="s">
        <v>403</v>
      </c>
      <c r="B11" s="5" t="s">
        <v>290</v>
      </c>
      <c r="C11" s="5" t="s">
        <v>43</v>
      </c>
      <c r="D11" s="5" t="s">
        <v>395</v>
      </c>
      <c r="E11" s="5" t="s">
        <v>396</v>
      </c>
      <c r="F11" s="5" t="s">
        <v>397</v>
      </c>
    </row>
    <row r="12" customFormat="false" ht="15" hidden="false" customHeight="true" outlineLevel="0" collapsed="false">
      <c r="A12" s="5" t="s">
        <v>404</v>
      </c>
      <c r="B12" s="5" t="s">
        <v>272</v>
      </c>
      <c r="C12" s="5" t="s">
        <v>43</v>
      </c>
      <c r="D12" s="5" t="s">
        <v>395</v>
      </c>
      <c r="E12" s="5" t="s">
        <v>396</v>
      </c>
      <c r="F12" s="5" t="s">
        <v>397</v>
      </c>
    </row>
    <row r="13" customFormat="false" ht="15" hidden="false" customHeight="true" outlineLevel="0" collapsed="false">
      <c r="A13" s="5" t="s">
        <v>405</v>
      </c>
      <c r="B13" s="5" t="s">
        <v>276</v>
      </c>
      <c r="C13" s="5" t="s">
        <v>43</v>
      </c>
      <c r="D13" s="5" t="s">
        <v>395</v>
      </c>
      <c r="E13" s="5" t="s">
        <v>396</v>
      </c>
      <c r="F13" s="5" t="s">
        <v>397</v>
      </c>
    </row>
    <row r="14" customFormat="false" ht="15" hidden="false" customHeight="true" outlineLevel="0" collapsed="false">
      <c r="A14" s="5" t="s">
        <v>406</v>
      </c>
      <c r="B14" s="5" t="s">
        <v>272</v>
      </c>
      <c r="C14" s="5" t="s">
        <v>48</v>
      </c>
      <c r="D14" s="5" t="s">
        <v>395</v>
      </c>
      <c r="E14" s="5" t="s">
        <v>396</v>
      </c>
      <c r="F14" s="5" t="s">
        <v>397</v>
      </c>
    </row>
    <row r="15" customFormat="false" ht="15" hidden="false" customHeight="true" outlineLevel="0" collapsed="false">
      <c r="A15" s="5" t="s">
        <v>407</v>
      </c>
      <c r="B15" s="5" t="s">
        <v>300</v>
      </c>
      <c r="C15" s="5" t="s">
        <v>48</v>
      </c>
      <c r="D15" s="5" t="s">
        <v>395</v>
      </c>
      <c r="E15" s="5" t="s">
        <v>396</v>
      </c>
      <c r="F15" s="5" t="s">
        <v>397</v>
      </c>
    </row>
    <row r="16" customFormat="false" ht="15" hidden="false" customHeight="true" outlineLevel="0" collapsed="false">
      <c r="A16" s="5" t="s">
        <v>408</v>
      </c>
      <c r="B16" s="5" t="s">
        <v>276</v>
      </c>
      <c r="C16" s="5" t="s">
        <v>48</v>
      </c>
      <c r="D16" s="5" t="s">
        <v>395</v>
      </c>
      <c r="E16" s="5" t="s">
        <v>396</v>
      </c>
      <c r="F16" s="5" t="s">
        <v>397</v>
      </c>
    </row>
    <row r="17" customFormat="false" ht="15" hidden="false" customHeight="true" outlineLevel="0" collapsed="false">
      <c r="A17" s="5" t="s">
        <v>409</v>
      </c>
      <c r="B17" s="5" t="s">
        <v>272</v>
      </c>
      <c r="C17" s="5" t="s">
        <v>55</v>
      </c>
      <c r="D17" s="5" t="s">
        <v>395</v>
      </c>
      <c r="E17" s="5" t="s">
        <v>396</v>
      </c>
      <c r="F17" s="5" t="s">
        <v>397</v>
      </c>
    </row>
    <row r="18" customFormat="false" ht="15" hidden="false" customHeight="true" outlineLevel="0" collapsed="false">
      <c r="A18" s="5" t="s">
        <v>410</v>
      </c>
      <c r="B18" s="5" t="s">
        <v>303</v>
      </c>
      <c r="C18" s="5" t="s">
        <v>55</v>
      </c>
      <c r="D18" s="5" t="s">
        <v>395</v>
      </c>
      <c r="E18" s="5" t="s">
        <v>396</v>
      </c>
      <c r="F18" s="5" t="s">
        <v>397</v>
      </c>
    </row>
    <row r="19" customFormat="false" ht="15" hidden="false" customHeight="true" outlineLevel="0" collapsed="false">
      <c r="A19" s="5" t="s">
        <v>411</v>
      </c>
      <c r="B19" s="5" t="s">
        <v>300</v>
      </c>
      <c r="C19" s="5" t="s">
        <v>55</v>
      </c>
      <c r="D19" s="5" t="s">
        <v>395</v>
      </c>
      <c r="E19" s="5" t="s">
        <v>396</v>
      </c>
      <c r="F19" s="5" t="s">
        <v>397</v>
      </c>
    </row>
    <row r="20" customFormat="false" ht="15" hidden="false" customHeight="true" outlineLevel="0" collapsed="false">
      <c r="A20" s="5" t="s">
        <v>412</v>
      </c>
      <c r="B20" s="5" t="s">
        <v>282</v>
      </c>
      <c r="C20" s="5" t="s">
        <v>60</v>
      </c>
      <c r="D20" s="5" t="s">
        <v>395</v>
      </c>
      <c r="E20" s="5" t="s">
        <v>396</v>
      </c>
      <c r="F20" s="5" t="s">
        <v>397</v>
      </c>
    </row>
    <row r="21" customFormat="false" ht="15" hidden="false" customHeight="true" outlineLevel="0" collapsed="false">
      <c r="A21" s="5" t="s">
        <v>413</v>
      </c>
      <c r="B21" s="5" t="s">
        <v>290</v>
      </c>
      <c r="C21" s="5" t="s">
        <v>60</v>
      </c>
      <c r="D21" s="5" t="s">
        <v>395</v>
      </c>
      <c r="E21" s="5" t="s">
        <v>396</v>
      </c>
      <c r="F21" s="5" t="s">
        <v>397</v>
      </c>
    </row>
    <row r="22" customFormat="false" ht="15" hidden="false" customHeight="true" outlineLevel="0" collapsed="false">
      <c r="A22" s="5" t="s">
        <v>414</v>
      </c>
      <c r="B22" s="5" t="s">
        <v>272</v>
      </c>
      <c r="C22" s="5" t="s">
        <v>60</v>
      </c>
      <c r="D22" s="5" t="s">
        <v>395</v>
      </c>
      <c r="E22" s="5" t="s">
        <v>396</v>
      </c>
      <c r="F22" s="5" t="s">
        <v>397</v>
      </c>
    </row>
    <row r="23" customFormat="false" ht="15" hidden="false" customHeight="true" outlineLevel="0" collapsed="false">
      <c r="A23" s="5" t="s">
        <v>415</v>
      </c>
      <c r="B23" s="5" t="s">
        <v>293</v>
      </c>
      <c r="C23" s="5" t="s">
        <v>60</v>
      </c>
      <c r="D23" s="5" t="s">
        <v>395</v>
      </c>
      <c r="E23" s="5" t="s">
        <v>396</v>
      </c>
      <c r="F23" s="5" t="s">
        <v>397</v>
      </c>
    </row>
    <row r="24" customFormat="false" ht="15" hidden="false" customHeight="true" outlineLevel="0" collapsed="false">
      <c r="A24" s="5" t="s">
        <v>416</v>
      </c>
      <c r="B24" s="5" t="s">
        <v>287</v>
      </c>
      <c r="C24" s="5" t="s">
        <v>67</v>
      </c>
      <c r="D24" s="5" t="s">
        <v>395</v>
      </c>
      <c r="E24" s="5" t="s">
        <v>396</v>
      </c>
      <c r="F24" s="5" t="s">
        <v>397</v>
      </c>
    </row>
    <row r="25" customFormat="false" ht="15" hidden="false" customHeight="true" outlineLevel="0" collapsed="false">
      <c r="A25" s="5" t="s">
        <v>417</v>
      </c>
      <c r="B25" s="5" t="s">
        <v>272</v>
      </c>
      <c r="C25" s="5" t="s">
        <v>67</v>
      </c>
      <c r="D25" s="5" t="s">
        <v>395</v>
      </c>
      <c r="E25" s="5" t="s">
        <v>396</v>
      </c>
      <c r="F25" s="5" t="s">
        <v>397</v>
      </c>
    </row>
    <row r="26" customFormat="false" ht="15" hidden="false" customHeight="true" outlineLevel="0" collapsed="false">
      <c r="A26" s="5" t="s">
        <v>418</v>
      </c>
      <c r="B26" s="5" t="s">
        <v>297</v>
      </c>
      <c r="C26" s="5" t="s">
        <v>72</v>
      </c>
      <c r="D26" s="5" t="s">
        <v>395</v>
      </c>
      <c r="E26" s="5" t="s">
        <v>396</v>
      </c>
      <c r="F26" s="5" t="s">
        <v>397</v>
      </c>
    </row>
    <row r="27" customFormat="false" ht="15" hidden="false" customHeight="true" outlineLevel="0" collapsed="false">
      <c r="A27" s="5" t="s">
        <v>419</v>
      </c>
      <c r="B27" s="5" t="s">
        <v>272</v>
      </c>
      <c r="C27" s="5" t="s">
        <v>72</v>
      </c>
      <c r="D27" s="5" t="s">
        <v>395</v>
      </c>
      <c r="E27" s="5" t="s">
        <v>396</v>
      </c>
      <c r="F27" s="5" t="s">
        <v>397</v>
      </c>
    </row>
    <row r="28" customFormat="false" ht="15" hidden="false" customHeight="true" outlineLevel="0" collapsed="false">
      <c r="A28" s="5" t="s">
        <v>420</v>
      </c>
      <c r="B28" s="5" t="s">
        <v>276</v>
      </c>
      <c r="C28" s="5" t="s">
        <v>72</v>
      </c>
      <c r="D28" s="5" t="s">
        <v>395</v>
      </c>
      <c r="E28" s="5" t="s">
        <v>396</v>
      </c>
      <c r="F28" s="5" t="s">
        <v>397</v>
      </c>
    </row>
    <row r="29" customFormat="false" ht="15" hidden="false" customHeight="true" outlineLevel="0" collapsed="false">
      <c r="A29" s="5" t="s">
        <v>421</v>
      </c>
      <c r="B29" s="5" t="s">
        <v>276</v>
      </c>
      <c r="C29" s="5" t="s">
        <v>79</v>
      </c>
      <c r="D29" s="5" t="s">
        <v>395</v>
      </c>
      <c r="E29" s="5" t="s">
        <v>396</v>
      </c>
      <c r="F29" s="5" t="s">
        <v>397</v>
      </c>
    </row>
    <row r="30" customFormat="false" ht="15" hidden="false" customHeight="true" outlineLevel="0" collapsed="false">
      <c r="A30" s="5" t="s">
        <v>422</v>
      </c>
      <c r="B30" s="5" t="s">
        <v>300</v>
      </c>
      <c r="C30" s="5" t="s">
        <v>79</v>
      </c>
      <c r="D30" s="5" t="s">
        <v>395</v>
      </c>
      <c r="E30" s="5" t="s">
        <v>396</v>
      </c>
      <c r="F30" s="5" t="s">
        <v>397</v>
      </c>
    </row>
    <row r="31" customFormat="false" ht="15" hidden="false" customHeight="true" outlineLevel="0" collapsed="false">
      <c r="A31" s="5" t="s">
        <v>423</v>
      </c>
      <c r="B31" s="5" t="s">
        <v>306</v>
      </c>
      <c r="C31" s="5" t="s">
        <v>79</v>
      </c>
      <c r="D31" s="5" t="s">
        <v>395</v>
      </c>
      <c r="E31" s="5" t="s">
        <v>396</v>
      </c>
      <c r="F31" s="5" t="s">
        <v>397</v>
      </c>
    </row>
    <row r="32" customFormat="false" ht="15" hidden="false" customHeight="true" outlineLevel="0" collapsed="false">
      <c r="A32" s="5" t="s">
        <v>424</v>
      </c>
      <c r="B32" s="5" t="s">
        <v>95</v>
      </c>
      <c r="C32" s="5" t="s">
        <v>85</v>
      </c>
      <c r="D32" s="5" t="s">
        <v>395</v>
      </c>
      <c r="E32" s="5" t="s">
        <v>396</v>
      </c>
      <c r="F32" s="5" t="s">
        <v>397</v>
      </c>
    </row>
    <row r="33" customFormat="false" ht="15" hidden="false" customHeight="true" outlineLevel="0" collapsed="false">
      <c r="A33" s="5" t="s">
        <v>425</v>
      </c>
      <c r="B33" s="5" t="s">
        <v>312</v>
      </c>
      <c r="C33" s="5" t="s">
        <v>85</v>
      </c>
      <c r="D33" s="5" t="s">
        <v>395</v>
      </c>
      <c r="E33" s="5" t="s">
        <v>396</v>
      </c>
      <c r="F33" s="5" t="s">
        <v>397</v>
      </c>
    </row>
    <row r="34" customFormat="false" ht="15" hidden="false" customHeight="true" outlineLevel="0" collapsed="false">
      <c r="A34" s="5" t="s">
        <v>426</v>
      </c>
      <c r="B34" s="5" t="s">
        <v>95</v>
      </c>
      <c r="C34" s="5" t="s">
        <v>92</v>
      </c>
      <c r="D34" s="5" t="s">
        <v>395</v>
      </c>
      <c r="E34" s="5" t="s">
        <v>396</v>
      </c>
      <c r="F34" s="5" t="s">
        <v>397</v>
      </c>
    </row>
    <row r="35" customFormat="false" ht="15" hidden="false" customHeight="true" outlineLevel="0" collapsed="false">
      <c r="A35" s="5" t="s">
        <v>427</v>
      </c>
      <c r="B35" s="5" t="s">
        <v>279</v>
      </c>
      <c r="C35" s="5" t="s">
        <v>96</v>
      </c>
      <c r="D35" s="5" t="s">
        <v>395</v>
      </c>
      <c r="E35" s="5" t="s">
        <v>396</v>
      </c>
      <c r="F35" s="5" t="s">
        <v>397</v>
      </c>
    </row>
    <row r="36" customFormat="false" ht="15" hidden="false" customHeight="true" outlineLevel="0" collapsed="false">
      <c r="A36" s="5" t="s">
        <v>428</v>
      </c>
      <c r="B36" s="5" t="s">
        <v>272</v>
      </c>
      <c r="C36" s="5" t="s">
        <v>96</v>
      </c>
      <c r="D36" s="5" t="s">
        <v>395</v>
      </c>
      <c r="E36" s="5" t="s">
        <v>396</v>
      </c>
      <c r="F36" s="5" t="s">
        <v>397</v>
      </c>
    </row>
    <row r="37" customFormat="false" ht="15" hidden="false" customHeight="true" outlineLevel="0" collapsed="false">
      <c r="A37" s="5" t="s">
        <v>429</v>
      </c>
      <c r="B37" s="5" t="s">
        <v>279</v>
      </c>
      <c r="C37" s="5" t="s">
        <v>103</v>
      </c>
      <c r="D37" s="5" t="s">
        <v>395</v>
      </c>
      <c r="E37" s="5" t="s">
        <v>396</v>
      </c>
      <c r="F37" s="5" t="s">
        <v>397</v>
      </c>
    </row>
    <row r="38" customFormat="false" ht="15" hidden="false" customHeight="true" outlineLevel="0" collapsed="false">
      <c r="A38" s="5" t="s">
        <v>430</v>
      </c>
      <c r="B38" s="5" t="s">
        <v>272</v>
      </c>
      <c r="C38" s="5" t="s">
        <v>103</v>
      </c>
      <c r="D38" s="5" t="s">
        <v>395</v>
      </c>
      <c r="E38" s="5" t="s">
        <v>396</v>
      </c>
      <c r="F38" s="5" t="s">
        <v>397</v>
      </c>
    </row>
    <row r="39" customFormat="false" ht="15" hidden="false" customHeight="true" outlineLevel="0" collapsed="false">
      <c r="A39" s="5" t="s">
        <v>431</v>
      </c>
      <c r="B39" s="5" t="s">
        <v>279</v>
      </c>
      <c r="C39" s="5" t="s">
        <v>109</v>
      </c>
      <c r="D39" s="5" t="s">
        <v>395</v>
      </c>
      <c r="E39" s="5" t="s">
        <v>396</v>
      </c>
      <c r="F39" s="5" t="s">
        <v>397</v>
      </c>
    </row>
    <row r="40" customFormat="false" ht="15" hidden="false" customHeight="true" outlineLevel="0" collapsed="false">
      <c r="A40" s="5" t="s">
        <v>432</v>
      </c>
      <c r="B40" s="5" t="s">
        <v>272</v>
      </c>
      <c r="C40" s="5" t="s">
        <v>109</v>
      </c>
      <c r="D40" s="5" t="s">
        <v>395</v>
      </c>
      <c r="E40" s="5" t="s">
        <v>396</v>
      </c>
      <c r="F40" s="5" t="s">
        <v>397</v>
      </c>
    </row>
    <row r="41" customFormat="false" ht="15" hidden="false" customHeight="true" outlineLevel="0" collapsed="false">
      <c r="A41" s="5" t="s">
        <v>433</v>
      </c>
      <c r="B41" s="5" t="s">
        <v>279</v>
      </c>
      <c r="C41" s="5" t="s">
        <v>113</v>
      </c>
      <c r="D41" s="5" t="s">
        <v>395</v>
      </c>
      <c r="E41" s="5" t="s">
        <v>396</v>
      </c>
      <c r="F41" s="5" t="s">
        <v>397</v>
      </c>
    </row>
    <row r="42" customFormat="false" ht="15" hidden="false" customHeight="true" outlineLevel="0" collapsed="false">
      <c r="A42" s="5" t="s">
        <v>434</v>
      </c>
      <c r="B42" s="5" t="s">
        <v>351</v>
      </c>
      <c r="C42" s="5" t="s">
        <v>113</v>
      </c>
      <c r="D42" s="5" t="s">
        <v>395</v>
      </c>
      <c r="E42" s="5" t="s">
        <v>396</v>
      </c>
      <c r="F42" s="5" t="s">
        <v>397</v>
      </c>
    </row>
    <row r="43" customFormat="false" ht="15" hidden="false" customHeight="true" outlineLevel="0" collapsed="false">
      <c r="A43" s="5" t="s">
        <v>435</v>
      </c>
      <c r="B43" s="5" t="s">
        <v>121</v>
      </c>
      <c r="C43" s="5" t="s">
        <v>118</v>
      </c>
      <c r="D43" s="5" t="s">
        <v>395</v>
      </c>
      <c r="E43" s="5" t="s">
        <v>396</v>
      </c>
      <c r="F43" s="5" t="s">
        <v>397</v>
      </c>
    </row>
    <row r="44" customFormat="false" ht="15" hidden="false" customHeight="true" outlineLevel="0" collapsed="false">
      <c r="A44" s="5" t="s">
        <v>436</v>
      </c>
      <c r="B44" s="5" t="s">
        <v>127</v>
      </c>
      <c r="C44" s="5" t="s">
        <v>124</v>
      </c>
      <c r="D44" s="5" t="s">
        <v>395</v>
      </c>
      <c r="E44" s="5" t="s">
        <v>396</v>
      </c>
      <c r="F44" s="5" t="s">
        <v>397</v>
      </c>
    </row>
    <row r="45" customFormat="false" ht="15" hidden="false" customHeight="true" outlineLevel="0" collapsed="false">
      <c r="A45" s="5" t="s">
        <v>437</v>
      </c>
      <c r="B45" s="5" t="s">
        <v>342</v>
      </c>
      <c r="C45" s="5" t="s">
        <v>130</v>
      </c>
      <c r="D45" s="5" t="s">
        <v>395</v>
      </c>
      <c r="E45" s="5" t="s">
        <v>396</v>
      </c>
      <c r="F45" s="5" t="s">
        <v>397</v>
      </c>
    </row>
    <row r="46" customFormat="false" ht="15" hidden="false" customHeight="true" outlineLevel="0" collapsed="false">
      <c r="A46" s="5" t="s">
        <v>438</v>
      </c>
      <c r="B46" s="5" t="s">
        <v>272</v>
      </c>
      <c r="C46" s="5" t="s">
        <v>130</v>
      </c>
      <c r="D46" s="5" t="s">
        <v>395</v>
      </c>
      <c r="E46" s="5" t="s">
        <v>396</v>
      </c>
      <c r="F46" s="5" t="s">
        <v>397</v>
      </c>
    </row>
    <row r="47" customFormat="false" ht="15" hidden="false" customHeight="true" outlineLevel="0" collapsed="false">
      <c r="A47" s="5" t="s">
        <v>439</v>
      </c>
      <c r="B47" s="5" t="s">
        <v>345</v>
      </c>
      <c r="C47" s="5" t="s">
        <v>134</v>
      </c>
      <c r="D47" s="5" t="s">
        <v>395</v>
      </c>
      <c r="E47" s="5" t="s">
        <v>396</v>
      </c>
      <c r="F47" s="5" t="s">
        <v>397</v>
      </c>
    </row>
    <row r="48" customFormat="false" ht="15" hidden="false" customHeight="true" outlineLevel="0" collapsed="false">
      <c r="A48" s="5" t="s">
        <v>440</v>
      </c>
      <c r="B48" s="5" t="s">
        <v>272</v>
      </c>
      <c r="C48" s="5" t="s">
        <v>134</v>
      </c>
      <c r="D48" s="5" t="s">
        <v>395</v>
      </c>
      <c r="E48" s="5" t="s">
        <v>396</v>
      </c>
      <c r="F48" s="5" t="s">
        <v>397</v>
      </c>
    </row>
    <row r="49" customFormat="false" ht="15" hidden="false" customHeight="true" outlineLevel="0" collapsed="false">
      <c r="A49" s="5" t="s">
        <v>441</v>
      </c>
      <c r="B49" s="5" t="s">
        <v>144</v>
      </c>
      <c r="C49" s="5" t="s">
        <v>141</v>
      </c>
      <c r="D49" s="5" t="s">
        <v>395</v>
      </c>
      <c r="E49" s="5" t="s">
        <v>396</v>
      </c>
      <c r="F49" s="5" t="s">
        <v>397</v>
      </c>
    </row>
    <row r="50" customFormat="false" ht="15" hidden="false" customHeight="true" outlineLevel="0" collapsed="false">
      <c r="A50" s="5" t="s">
        <v>442</v>
      </c>
      <c r="B50" s="5" t="s">
        <v>317</v>
      </c>
      <c r="C50" s="5" t="s">
        <v>147</v>
      </c>
      <c r="D50" s="5" t="s">
        <v>395</v>
      </c>
      <c r="E50" s="5" t="s">
        <v>396</v>
      </c>
      <c r="F50" s="5" t="s">
        <v>397</v>
      </c>
    </row>
    <row r="51" customFormat="false" ht="15" hidden="false" customHeight="true" outlineLevel="0" collapsed="false">
      <c r="A51" s="5" t="s">
        <v>443</v>
      </c>
      <c r="B51" s="5" t="s">
        <v>320</v>
      </c>
      <c r="C51" s="5" t="s">
        <v>147</v>
      </c>
      <c r="D51" s="5" t="s">
        <v>395</v>
      </c>
      <c r="E51" s="5" t="s">
        <v>396</v>
      </c>
      <c r="F51" s="5" t="s">
        <v>397</v>
      </c>
    </row>
    <row r="52" customFormat="false" ht="15" hidden="false" customHeight="true" outlineLevel="0" collapsed="false">
      <c r="A52" s="5" t="s">
        <v>444</v>
      </c>
      <c r="B52" s="5" t="s">
        <v>317</v>
      </c>
      <c r="C52" s="5" t="s">
        <v>151</v>
      </c>
      <c r="D52" s="5" t="s">
        <v>395</v>
      </c>
      <c r="E52" s="5" t="s">
        <v>396</v>
      </c>
      <c r="F52" s="5" t="s">
        <v>397</v>
      </c>
    </row>
    <row r="53" customFormat="false" ht="15" hidden="false" customHeight="true" outlineLevel="0" collapsed="false">
      <c r="A53" s="5" t="s">
        <v>445</v>
      </c>
      <c r="B53" s="5" t="s">
        <v>323</v>
      </c>
      <c r="C53" s="5" t="s">
        <v>154</v>
      </c>
      <c r="D53" s="5" t="s">
        <v>395</v>
      </c>
      <c r="E53" s="5" t="s">
        <v>396</v>
      </c>
      <c r="F53" s="5" t="s">
        <v>397</v>
      </c>
    </row>
    <row r="54" customFormat="false" ht="15" hidden="false" customHeight="true" outlineLevel="0" collapsed="false">
      <c r="A54" s="5" t="s">
        <v>446</v>
      </c>
      <c r="B54" s="5" t="s">
        <v>320</v>
      </c>
      <c r="C54" s="5" t="s">
        <v>154</v>
      </c>
      <c r="D54" s="5" t="s">
        <v>395</v>
      </c>
      <c r="E54" s="5" t="s">
        <v>396</v>
      </c>
      <c r="F54" s="5" t="s">
        <v>397</v>
      </c>
    </row>
    <row r="55" customFormat="false" ht="15" hidden="false" customHeight="true" outlineLevel="0" collapsed="false">
      <c r="A55" s="5" t="s">
        <v>447</v>
      </c>
      <c r="B55" s="5" t="s">
        <v>95</v>
      </c>
      <c r="C55" s="5" t="s">
        <v>157</v>
      </c>
      <c r="D55" s="5" t="s">
        <v>395</v>
      </c>
      <c r="E55" s="5" t="s">
        <v>396</v>
      </c>
      <c r="F55" s="5" t="s">
        <v>397</v>
      </c>
    </row>
    <row r="56" customFormat="false" ht="15" hidden="false" customHeight="true" outlineLevel="0" collapsed="false">
      <c r="A56" s="5" t="s">
        <v>448</v>
      </c>
      <c r="B56" s="5" t="s">
        <v>144</v>
      </c>
      <c r="C56" s="5" t="s">
        <v>163</v>
      </c>
      <c r="D56" s="5" t="s">
        <v>395</v>
      </c>
      <c r="E56" s="5" t="s">
        <v>396</v>
      </c>
      <c r="F56" s="5" t="s">
        <v>397</v>
      </c>
    </row>
    <row r="57" customFormat="false" ht="15" hidden="false" customHeight="true" outlineLevel="0" collapsed="false">
      <c r="A57" s="5" t="s">
        <v>449</v>
      </c>
      <c r="B57" s="5" t="s">
        <v>323</v>
      </c>
      <c r="C57" s="5" t="s">
        <v>167</v>
      </c>
      <c r="D57" s="5" t="s">
        <v>395</v>
      </c>
      <c r="E57" s="5" t="s">
        <v>396</v>
      </c>
      <c r="F57" s="5" t="s">
        <v>397</v>
      </c>
    </row>
    <row r="58" customFormat="false" ht="15" hidden="false" customHeight="true" outlineLevel="0" collapsed="false">
      <c r="A58" s="5" t="s">
        <v>450</v>
      </c>
      <c r="B58" s="5" t="s">
        <v>317</v>
      </c>
      <c r="C58" s="5" t="s">
        <v>173</v>
      </c>
      <c r="D58" s="5" t="s">
        <v>395</v>
      </c>
      <c r="E58" s="5" t="s">
        <v>396</v>
      </c>
      <c r="F58" s="5" t="s">
        <v>397</v>
      </c>
    </row>
    <row r="59" customFormat="false" ht="15" hidden="false" customHeight="true" outlineLevel="0" collapsed="false">
      <c r="A59" s="5" t="s">
        <v>451</v>
      </c>
      <c r="B59" s="5" t="s">
        <v>160</v>
      </c>
      <c r="C59" s="5" t="s">
        <v>179</v>
      </c>
      <c r="D59" s="5" t="s">
        <v>395</v>
      </c>
      <c r="E59" s="5" t="s">
        <v>396</v>
      </c>
      <c r="F59" s="5" t="s">
        <v>397</v>
      </c>
    </row>
    <row r="60" customFormat="false" ht="15" hidden="false" customHeight="true" outlineLevel="0" collapsed="false">
      <c r="A60" s="5" t="s">
        <v>452</v>
      </c>
      <c r="B60" s="5" t="s">
        <v>166</v>
      </c>
      <c r="C60" s="5" t="s">
        <v>183</v>
      </c>
      <c r="D60" s="5" t="s">
        <v>395</v>
      </c>
      <c r="E60" s="5" t="s">
        <v>396</v>
      </c>
      <c r="F60" s="5" t="s">
        <v>397</v>
      </c>
    </row>
    <row r="61" customFormat="false" ht="15" hidden="false" customHeight="true" outlineLevel="0" collapsed="false">
      <c r="A61" s="5" t="s">
        <v>453</v>
      </c>
      <c r="B61" s="5" t="s">
        <v>170</v>
      </c>
      <c r="C61" s="5" t="s">
        <v>189</v>
      </c>
      <c r="D61" s="5" t="s">
        <v>395</v>
      </c>
      <c r="E61" s="5" t="s">
        <v>396</v>
      </c>
      <c r="F61" s="5" t="s">
        <v>397</v>
      </c>
    </row>
    <row r="62" customFormat="false" ht="15" hidden="false" customHeight="true" outlineLevel="0" collapsed="false">
      <c r="A62" s="5" t="s">
        <v>454</v>
      </c>
      <c r="B62" s="5" t="s">
        <v>176</v>
      </c>
      <c r="C62" s="5" t="s">
        <v>192</v>
      </c>
      <c r="D62" s="5" t="s">
        <v>395</v>
      </c>
      <c r="E62" s="5" t="s">
        <v>396</v>
      </c>
      <c r="F62" s="5" t="s">
        <v>397</v>
      </c>
    </row>
    <row r="63" customFormat="false" ht="15" hidden="false" customHeight="true" outlineLevel="0" collapsed="false">
      <c r="A63" s="5" t="s">
        <v>455</v>
      </c>
      <c r="B63" s="5" t="s">
        <v>335</v>
      </c>
      <c r="C63" s="5" t="s">
        <v>198</v>
      </c>
      <c r="D63" s="5" t="s">
        <v>395</v>
      </c>
      <c r="E63" s="5" t="s">
        <v>396</v>
      </c>
      <c r="F63" s="5" t="s">
        <v>397</v>
      </c>
    </row>
    <row r="64" customFormat="false" ht="15" hidden="false" customHeight="true" outlineLevel="0" collapsed="false">
      <c r="A64" s="5" t="s">
        <v>456</v>
      </c>
      <c r="B64" s="5" t="s">
        <v>317</v>
      </c>
      <c r="C64" s="5" t="s">
        <v>198</v>
      </c>
      <c r="D64" s="5" t="s">
        <v>395</v>
      </c>
      <c r="E64" s="5" t="s">
        <v>396</v>
      </c>
      <c r="F64" s="5" t="s">
        <v>397</v>
      </c>
    </row>
    <row r="65" customFormat="false" ht="15" hidden="false" customHeight="true" outlineLevel="0" collapsed="false">
      <c r="A65" s="5" t="s">
        <v>457</v>
      </c>
      <c r="B65" s="5" t="s">
        <v>354</v>
      </c>
      <c r="C65" s="5" t="s">
        <v>204</v>
      </c>
      <c r="D65" s="5" t="s">
        <v>395</v>
      </c>
      <c r="E65" s="5" t="s">
        <v>396</v>
      </c>
      <c r="F65" s="5" t="s">
        <v>397</v>
      </c>
    </row>
    <row r="66" customFormat="false" ht="15" hidden="false" customHeight="true" outlineLevel="0" collapsed="false">
      <c r="A66" s="5" t="s">
        <v>458</v>
      </c>
      <c r="B66" s="5" t="s">
        <v>276</v>
      </c>
      <c r="C66" s="5" t="s">
        <v>204</v>
      </c>
      <c r="D66" s="5" t="s">
        <v>395</v>
      </c>
      <c r="E66" s="5" t="s">
        <v>396</v>
      </c>
      <c r="F66" s="5" t="s">
        <v>397</v>
      </c>
    </row>
    <row r="67" customFormat="false" ht="15" hidden="false" customHeight="true" outlineLevel="0" collapsed="false">
      <c r="A67" s="5" t="s">
        <v>459</v>
      </c>
      <c r="B67" s="5" t="s">
        <v>354</v>
      </c>
      <c r="C67" s="5" t="s">
        <v>208</v>
      </c>
      <c r="D67" s="5" t="s">
        <v>395</v>
      </c>
      <c r="E67" s="5" t="s">
        <v>396</v>
      </c>
      <c r="F67" s="5" t="s">
        <v>397</v>
      </c>
    </row>
    <row r="68" customFormat="false" ht="15" hidden="false" customHeight="true" outlineLevel="0" collapsed="false">
      <c r="A68" s="5" t="s">
        <v>460</v>
      </c>
      <c r="B68" s="5" t="s">
        <v>276</v>
      </c>
      <c r="C68" s="5" t="s">
        <v>208</v>
      </c>
      <c r="D68" s="5" t="s">
        <v>395</v>
      </c>
      <c r="E68" s="5" t="s">
        <v>396</v>
      </c>
      <c r="F68" s="5" t="s">
        <v>397</v>
      </c>
    </row>
    <row r="69" customFormat="false" ht="15" hidden="false" customHeight="true" outlineLevel="0" collapsed="false">
      <c r="A69" s="5" t="s">
        <v>461</v>
      </c>
      <c r="B69" s="5" t="s">
        <v>348</v>
      </c>
      <c r="C69" s="5" t="s">
        <v>214</v>
      </c>
      <c r="D69" s="5" t="s">
        <v>395</v>
      </c>
      <c r="E69" s="5" t="s">
        <v>396</v>
      </c>
      <c r="F69" s="5" t="s">
        <v>397</v>
      </c>
    </row>
    <row r="70" customFormat="false" ht="15" hidden="false" customHeight="true" outlineLevel="0" collapsed="false">
      <c r="A70" s="5" t="s">
        <v>462</v>
      </c>
      <c r="B70" s="5" t="s">
        <v>272</v>
      </c>
      <c r="C70" s="5" t="s">
        <v>214</v>
      </c>
      <c r="D70" s="5" t="s">
        <v>395</v>
      </c>
      <c r="E70" s="5" t="s">
        <v>396</v>
      </c>
      <c r="F70" s="5" t="s">
        <v>397</v>
      </c>
    </row>
    <row r="71" customFormat="false" ht="15" hidden="false" customHeight="true" outlineLevel="0" collapsed="false">
      <c r="A71" s="5" t="s">
        <v>463</v>
      </c>
      <c r="B71" s="5" t="s">
        <v>201</v>
      </c>
      <c r="C71" s="5" t="s">
        <v>219</v>
      </c>
      <c r="D71" s="5" t="s">
        <v>395</v>
      </c>
      <c r="E71" s="5" t="s">
        <v>396</v>
      </c>
      <c r="F71" s="5" t="s">
        <v>397</v>
      </c>
    </row>
    <row r="72" customFormat="false" ht="15" hidden="false" customHeight="true" outlineLevel="0" collapsed="false">
      <c r="A72" s="5" t="s">
        <v>464</v>
      </c>
      <c r="B72" s="5" t="s">
        <v>201</v>
      </c>
      <c r="C72" s="5" t="s">
        <v>225</v>
      </c>
      <c r="D72" s="5" t="s">
        <v>395</v>
      </c>
      <c r="E72" s="5" t="s">
        <v>396</v>
      </c>
      <c r="F72" s="5" t="s">
        <v>397</v>
      </c>
    </row>
    <row r="73" customFormat="false" ht="15" hidden="false" customHeight="true" outlineLevel="0" collapsed="false">
      <c r="A73" s="5" t="s">
        <v>465</v>
      </c>
      <c r="B73" s="5" t="s">
        <v>357</v>
      </c>
      <c r="C73" s="5" t="s">
        <v>230</v>
      </c>
      <c r="D73" s="5" t="s">
        <v>395</v>
      </c>
      <c r="E73" s="5" t="s">
        <v>396</v>
      </c>
      <c r="F73" s="5" t="s">
        <v>397</v>
      </c>
    </row>
    <row r="74" customFormat="false" ht="15" hidden="false" customHeight="true" outlineLevel="0" collapsed="false">
      <c r="A74" s="5" t="s">
        <v>466</v>
      </c>
      <c r="B74" s="5" t="s">
        <v>360</v>
      </c>
      <c r="C74" s="5" t="s">
        <v>230</v>
      </c>
      <c r="D74" s="5" t="s">
        <v>395</v>
      </c>
      <c r="E74" s="5" t="s">
        <v>396</v>
      </c>
      <c r="F74" s="5" t="s">
        <v>397</v>
      </c>
    </row>
    <row r="75" customFormat="false" ht="15" hidden="false" customHeight="true" outlineLevel="0" collapsed="false">
      <c r="A75" s="5" t="s">
        <v>467</v>
      </c>
      <c r="B75" s="5" t="s">
        <v>306</v>
      </c>
      <c r="C75" s="5" t="s">
        <v>230</v>
      </c>
      <c r="D75" s="5" t="s">
        <v>395</v>
      </c>
      <c r="E75" s="5" t="s">
        <v>396</v>
      </c>
      <c r="F75" s="5" t="s">
        <v>397</v>
      </c>
    </row>
    <row r="76" customFormat="false" ht="15" hidden="false" customHeight="true" outlineLevel="0" collapsed="false">
      <c r="A76" s="5" t="s">
        <v>468</v>
      </c>
      <c r="B76" s="5" t="s">
        <v>217</v>
      </c>
      <c r="C76" s="5" t="s">
        <v>236</v>
      </c>
      <c r="D76" s="5" t="s">
        <v>395</v>
      </c>
      <c r="E76" s="5" t="s">
        <v>396</v>
      </c>
      <c r="F76" s="5" t="s">
        <v>397</v>
      </c>
    </row>
    <row r="77" customFormat="false" ht="15" hidden="false" customHeight="true" outlineLevel="0" collapsed="false">
      <c r="A77" s="5" t="s">
        <v>469</v>
      </c>
      <c r="B77" s="5" t="s">
        <v>25</v>
      </c>
      <c r="C77" s="5" t="s">
        <v>470</v>
      </c>
      <c r="D77" s="5" t="s">
        <v>471</v>
      </c>
      <c r="E77" s="5" t="s">
        <v>397</v>
      </c>
      <c r="F77" s="5" t="s">
        <v>472</v>
      </c>
    </row>
    <row r="78" customFormat="false" ht="15" hidden="false" customHeight="true" outlineLevel="0" collapsed="false">
      <c r="A78" s="5" t="s">
        <v>473</v>
      </c>
      <c r="B78" s="5" t="s">
        <v>39</v>
      </c>
      <c r="C78" s="5" t="s">
        <v>474</v>
      </c>
      <c r="D78" s="5" t="s">
        <v>471</v>
      </c>
      <c r="E78" s="5" t="s">
        <v>397</v>
      </c>
      <c r="F78" s="5" t="s">
        <v>472</v>
      </c>
    </row>
    <row r="79" customFormat="false" ht="15" hidden="false" customHeight="true" outlineLevel="0" collapsed="false">
      <c r="A79" s="5" t="s">
        <v>475</v>
      </c>
      <c r="B79" s="5" t="s">
        <v>43</v>
      </c>
      <c r="C79" s="5" t="s">
        <v>476</v>
      </c>
      <c r="D79" s="5" t="s">
        <v>471</v>
      </c>
      <c r="E79" s="5" t="s">
        <v>397</v>
      </c>
      <c r="F79" s="5" t="s">
        <v>472</v>
      </c>
    </row>
    <row r="80" customFormat="false" ht="15" hidden="false" customHeight="true" outlineLevel="0" collapsed="false">
      <c r="A80" s="5" t="s">
        <v>477</v>
      </c>
      <c r="B80" s="5" t="s">
        <v>48</v>
      </c>
      <c r="C80" s="5" t="s">
        <v>478</v>
      </c>
      <c r="D80" s="5" t="s">
        <v>471</v>
      </c>
      <c r="E80" s="5" t="s">
        <v>397</v>
      </c>
      <c r="F80" s="5" t="s">
        <v>472</v>
      </c>
    </row>
    <row r="81" customFormat="false" ht="15" hidden="false" customHeight="true" outlineLevel="0" collapsed="false">
      <c r="A81" s="5" t="s">
        <v>479</v>
      </c>
      <c r="B81" s="5" t="s">
        <v>55</v>
      </c>
      <c r="C81" s="5" t="s">
        <v>480</v>
      </c>
      <c r="D81" s="5" t="s">
        <v>471</v>
      </c>
      <c r="E81" s="5" t="s">
        <v>397</v>
      </c>
      <c r="F81" s="5" t="s">
        <v>472</v>
      </c>
    </row>
    <row r="82" customFormat="false" ht="15" hidden="false" customHeight="true" outlineLevel="0" collapsed="false">
      <c r="A82" s="5" t="s">
        <v>481</v>
      </c>
      <c r="B82" s="5" t="s">
        <v>60</v>
      </c>
      <c r="C82" s="5" t="s">
        <v>482</v>
      </c>
      <c r="D82" s="5" t="s">
        <v>471</v>
      </c>
      <c r="E82" s="5" t="s">
        <v>397</v>
      </c>
      <c r="F82" s="5" t="s">
        <v>472</v>
      </c>
    </row>
    <row r="83" customFormat="false" ht="15" hidden="false" customHeight="true" outlineLevel="0" collapsed="false">
      <c r="A83" s="5" t="s">
        <v>483</v>
      </c>
      <c r="B83" s="5" t="s">
        <v>67</v>
      </c>
      <c r="C83" s="5" t="s">
        <v>484</v>
      </c>
      <c r="D83" s="5" t="s">
        <v>471</v>
      </c>
      <c r="E83" s="5" t="s">
        <v>397</v>
      </c>
      <c r="F83" s="5" t="s">
        <v>472</v>
      </c>
    </row>
    <row r="84" customFormat="false" ht="15" hidden="false" customHeight="true" outlineLevel="0" collapsed="false">
      <c r="A84" s="5" t="s">
        <v>485</v>
      </c>
      <c r="B84" s="5" t="s">
        <v>72</v>
      </c>
      <c r="C84" s="5" t="s">
        <v>486</v>
      </c>
      <c r="D84" s="5" t="s">
        <v>471</v>
      </c>
      <c r="E84" s="5" t="s">
        <v>397</v>
      </c>
      <c r="F84" s="5" t="s">
        <v>472</v>
      </c>
    </row>
    <row r="85" customFormat="false" ht="15" hidden="false" customHeight="true" outlineLevel="0" collapsed="false">
      <c r="A85" s="5" t="s">
        <v>487</v>
      </c>
      <c r="B85" s="5" t="s">
        <v>79</v>
      </c>
      <c r="C85" s="5" t="s">
        <v>488</v>
      </c>
      <c r="D85" s="5" t="s">
        <v>471</v>
      </c>
      <c r="E85" s="5" t="s">
        <v>397</v>
      </c>
      <c r="F85" s="5" t="s">
        <v>472</v>
      </c>
    </row>
    <row r="86" customFormat="false" ht="15" hidden="false" customHeight="true" outlineLevel="0" collapsed="false">
      <c r="A86" s="5" t="s">
        <v>489</v>
      </c>
      <c r="B86" s="5" t="s">
        <v>85</v>
      </c>
      <c r="C86" s="5" t="s">
        <v>490</v>
      </c>
      <c r="D86" s="5" t="s">
        <v>471</v>
      </c>
      <c r="E86" s="5" t="s">
        <v>397</v>
      </c>
      <c r="F86" s="5" t="s">
        <v>472</v>
      </c>
    </row>
    <row r="87" customFormat="false" ht="15" hidden="false" customHeight="true" outlineLevel="0" collapsed="false">
      <c r="A87" s="5" t="s">
        <v>491</v>
      </c>
      <c r="B87" s="5" t="s">
        <v>92</v>
      </c>
      <c r="C87" s="5" t="s">
        <v>492</v>
      </c>
      <c r="D87" s="5" t="s">
        <v>471</v>
      </c>
      <c r="E87" s="5" t="s">
        <v>397</v>
      </c>
      <c r="F87" s="5" t="s">
        <v>472</v>
      </c>
    </row>
    <row r="88" customFormat="false" ht="15" hidden="false" customHeight="true" outlineLevel="0" collapsed="false">
      <c r="A88" s="5" t="s">
        <v>493</v>
      </c>
      <c r="B88" s="5" t="s">
        <v>96</v>
      </c>
      <c r="C88" s="5" t="s">
        <v>494</v>
      </c>
      <c r="D88" s="5" t="s">
        <v>471</v>
      </c>
      <c r="E88" s="5" t="s">
        <v>397</v>
      </c>
      <c r="F88" s="5" t="s">
        <v>472</v>
      </c>
    </row>
    <row r="89" customFormat="false" ht="15" hidden="false" customHeight="true" outlineLevel="0" collapsed="false">
      <c r="A89" s="5" t="s">
        <v>495</v>
      </c>
      <c r="B89" s="5" t="s">
        <v>113</v>
      </c>
      <c r="C89" s="5" t="s">
        <v>496</v>
      </c>
      <c r="D89" s="5" t="s">
        <v>471</v>
      </c>
      <c r="E89" s="5" t="s">
        <v>397</v>
      </c>
      <c r="F89" s="5" t="s">
        <v>472</v>
      </c>
    </row>
    <row r="90" customFormat="false" ht="15" hidden="false" customHeight="true" outlineLevel="0" collapsed="false">
      <c r="A90" s="5" t="s">
        <v>497</v>
      </c>
      <c r="B90" s="5" t="s">
        <v>118</v>
      </c>
      <c r="C90" s="5" t="s">
        <v>498</v>
      </c>
      <c r="D90" s="5" t="s">
        <v>471</v>
      </c>
      <c r="E90" s="5" t="s">
        <v>397</v>
      </c>
      <c r="F90" s="5" t="s">
        <v>472</v>
      </c>
    </row>
    <row r="91" customFormat="false" ht="15" hidden="false" customHeight="true" outlineLevel="0" collapsed="false">
      <c r="A91" s="5" t="s">
        <v>499</v>
      </c>
      <c r="B91" s="5" t="s">
        <v>124</v>
      </c>
      <c r="C91" s="5" t="s">
        <v>500</v>
      </c>
      <c r="D91" s="5" t="s">
        <v>471</v>
      </c>
      <c r="E91" s="5" t="s">
        <v>397</v>
      </c>
      <c r="F91" s="5" t="s">
        <v>472</v>
      </c>
    </row>
    <row r="92" customFormat="false" ht="15" hidden="false" customHeight="true" outlineLevel="0" collapsed="false">
      <c r="A92" s="5" t="s">
        <v>501</v>
      </c>
      <c r="B92" s="5" t="s">
        <v>134</v>
      </c>
      <c r="C92" s="5" t="s">
        <v>502</v>
      </c>
      <c r="D92" s="5" t="s">
        <v>471</v>
      </c>
      <c r="E92" s="5" t="s">
        <v>397</v>
      </c>
      <c r="F92" s="5" t="s">
        <v>472</v>
      </c>
    </row>
    <row r="93" customFormat="false" ht="15" hidden="false" customHeight="true" outlineLevel="0" collapsed="false">
      <c r="A93" s="5" t="s">
        <v>503</v>
      </c>
      <c r="B93" s="5" t="s">
        <v>141</v>
      </c>
      <c r="C93" s="5" t="s">
        <v>504</v>
      </c>
      <c r="D93" s="5" t="s">
        <v>471</v>
      </c>
      <c r="E93" s="5" t="s">
        <v>397</v>
      </c>
      <c r="F93" s="5" t="s">
        <v>472</v>
      </c>
    </row>
    <row r="94" customFormat="false" ht="15" hidden="false" customHeight="true" outlineLevel="0" collapsed="false">
      <c r="A94" s="5" t="s">
        <v>505</v>
      </c>
      <c r="B94" s="5" t="s">
        <v>147</v>
      </c>
      <c r="C94" s="5" t="s">
        <v>506</v>
      </c>
      <c r="D94" s="5" t="s">
        <v>471</v>
      </c>
      <c r="E94" s="5" t="s">
        <v>397</v>
      </c>
      <c r="F94" s="5" t="s">
        <v>472</v>
      </c>
    </row>
    <row r="95" customFormat="false" ht="15" hidden="false" customHeight="true" outlineLevel="0" collapsed="false">
      <c r="A95" s="5" t="s">
        <v>507</v>
      </c>
      <c r="B95" s="5" t="s">
        <v>154</v>
      </c>
      <c r="C95" s="5" t="s">
        <v>508</v>
      </c>
      <c r="D95" s="5" t="s">
        <v>471</v>
      </c>
      <c r="E95" s="5" t="s">
        <v>397</v>
      </c>
      <c r="F95" s="5" t="s">
        <v>472</v>
      </c>
    </row>
    <row r="96" customFormat="false" ht="15" hidden="false" customHeight="true" outlineLevel="0" collapsed="false">
      <c r="A96" s="5" t="s">
        <v>509</v>
      </c>
      <c r="B96" s="5" t="s">
        <v>157</v>
      </c>
      <c r="C96" s="5" t="s">
        <v>510</v>
      </c>
      <c r="D96" s="5" t="s">
        <v>471</v>
      </c>
      <c r="E96" s="5" t="s">
        <v>397</v>
      </c>
      <c r="F96" s="5" t="s">
        <v>472</v>
      </c>
    </row>
    <row r="97" customFormat="false" ht="15" hidden="false" customHeight="true" outlineLevel="0" collapsed="false">
      <c r="A97" s="5" t="s">
        <v>511</v>
      </c>
      <c r="B97" s="5" t="s">
        <v>163</v>
      </c>
      <c r="C97" s="5" t="s">
        <v>512</v>
      </c>
      <c r="D97" s="5" t="s">
        <v>471</v>
      </c>
      <c r="E97" s="5" t="s">
        <v>397</v>
      </c>
      <c r="F97" s="5" t="s">
        <v>472</v>
      </c>
    </row>
    <row r="98" customFormat="false" ht="15" hidden="false" customHeight="true" outlineLevel="0" collapsed="false">
      <c r="A98" s="5" t="s">
        <v>513</v>
      </c>
      <c r="B98" s="5" t="s">
        <v>167</v>
      </c>
      <c r="C98" s="5" t="s">
        <v>514</v>
      </c>
      <c r="D98" s="5" t="s">
        <v>471</v>
      </c>
      <c r="E98" s="5" t="s">
        <v>397</v>
      </c>
      <c r="F98" s="5" t="s">
        <v>472</v>
      </c>
    </row>
    <row r="99" customFormat="false" ht="15" hidden="false" customHeight="true" outlineLevel="0" collapsed="false">
      <c r="A99" s="5" t="s">
        <v>515</v>
      </c>
      <c r="B99" s="5" t="s">
        <v>173</v>
      </c>
      <c r="C99" s="5" t="s">
        <v>516</v>
      </c>
      <c r="D99" s="5" t="s">
        <v>471</v>
      </c>
      <c r="E99" s="5" t="s">
        <v>397</v>
      </c>
      <c r="F99" s="5" t="s">
        <v>472</v>
      </c>
    </row>
    <row r="100" customFormat="false" ht="15" hidden="false" customHeight="true" outlineLevel="0" collapsed="false">
      <c r="A100" s="5" t="s">
        <v>517</v>
      </c>
      <c r="B100" s="5" t="s">
        <v>179</v>
      </c>
      <c r="C100" s="5" t="s">
        <v>518</v>
      </c>
      <c r="D100" s="5" t="s">
        <v>471</v>
      </c>
      <c r="E100" s="5" t="s">
        <v>397</v>
      </c>
      <c r="F100" s="5" t="s">
        <v>472</v>
      </c>
    </row>
    <row r="101" customFormat="false" ht="15" hidden="false" customHeight="true" outlineLevel="0" collapsed="false">
      <c r="A101" s="5" t="s">
        <v>519</v>
      </c>
      <c r="B101" s="5" t="s">
        <v>189</v>
      </c>
      <c r="C101" s="5" t="s">
        <v>520</v>
      </c>
      <c r="D101" s="5" t="s">
        <v>471</v>
      </c>
      <c r="E101" s="5" t="s">
        <v>397</v>
      </c>
      <c r="F101" s="5" t="s">
        <v>472</v>
      </c>
    </row>
    <row r="102" customFormat="false" ht="15" hidden="false" customHeight="true" outlineLevel="0" collapsed="false">
      <c r="A102" s="5" t="s">
        <v>521</v>
      </c>
      <c r="B102" s="5" t="s">
        <v>192</v>
      </c>
      <c r="C102" s="5" t="s">
        <v>522</v>
      </c>
      <c r="D102" s="5" t="s">
        <v>471</v>
      </c>
      <c r="E102" s="5" t="s">
        <v>397</v>
      </c>
      <c r="F102" s="5" t="s">
        <v>472</v>
      </c>
    </row>
    <row r="103" customFormat="false" ht="15" hidden="false" customHeight="true" outlineLevel="0" collapsed="false">
      <c r="A103" s="5" t="s">
        <v>523</v>
      </c>
      <c r="B103" s="5" t="s">
        <v>198</v>
      </c>
      <c r="C103" s="5" t="s">
        <v>524</v>
      </c>
      <c r="D103" s="5" t="s">
        <v>471</v>
      </c>
      <c r="E103" s="5" t="s">
        <v>397</v>
      </c>
      <c r="F103" s="5" t="s">
        <v>472</v>
      </c>
    </row>
    <row r="104" customFormat="false" ht="15" hidden="false" customHeight="true" outlineLevel="0" collapsed="false">
      <c r="A104" s="5" t="s">
        <v>525</v>
      </c>
      <c r="B104" s="5" t="s">
        <v>204</v>
      </c>
      <c r="C104" s="5" t="s">
        <v>526</v>
      </c>
      <c r="D104" s="5" t="s">
        <v>471</v>
      </c>
      <c r="E104" s="5" t="s">
        <v>397</v>
      </c>
      <c r="F104" s="5" t="s">
        <v>472</v>
      </c>
    </row>
    <row r="105" customFormat="false" ht="15" hidden="false" customHeight="true" outlineLevel="0" collapsed="false">
      <c r="A105" s="5" t="s">
        <v>527</v>
      </c>
      <c r="B105" s="5" t="s">
        <v>219</v>
      </c>
      <c r="C105" s="5" t="s">
        <v>528</v>
      </c>
      <c r="D105" s="5" t="s">
        <v>471</v>
      </c>
      <c r="E105" s="5" t="s">
        <v>397</v>
      </c>
      <c r="F105" s="5" t="s">
        <v>472</v>
      </c>
    </row>
    <row r="106" customFormat="false" ht="15" hidden="false" customHeight="true" outlineLevel="0" collapsed="false">
      <c r="A106" s="5" t="s">
        <v>529</v>
      </c>
      <c r="B106" s="5" t="s">
        <v>225</v>
      </c>
      <c r="C106" s="5" t="s">
        <v>530</v>
      </c>
      <c r="D106" s="5" t="s">
        <v>471</v>
      </c>
      <c r="E106" s="5" t="s">
        <v>397</v>
      </c>
      <c r="F106" s="5" t="s">
        <v>472</v>
      </c>
    </row>
    <row r="107" customFormat="false" ht="15" hidden="false" customHeight="true" outlineLevel="0" collapsed="false">
      <c r="A107" s="5" t="s">
        <v>531</v>
      </c>
      <c r="B107" s="5" t="s">
        <v>230</v>
      </c>
      <c r="C107" s="5" t="s">
        <v>532</v>
      </c>
      <c r="D107" s="5" t="s">
        <v>471</v>
      </c>
      <c r="E107" s="5" t="s">
        <v>397</v>
      </c>
      <c r="F107" s="5" t="s">
        <v>472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8"/>
    <col collapsed="false" customWidth="true" hidden="false" outlineLevel="0" max="3" min="3" style="1" width="10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7" min="6" style="1" width="11"/>
    <col collapsed="false" customWidth="true" hidden="false" outlineLevel="0" max="8" min="8" style="1" width="10"/>
    <col collapsed="false" customWidth="true" hidden="false" outlineLevel="0" max="9" min="9" style="1" width="13"/>
  </cols>
  <sheetData>
    <row r="1" customFormat="false" ht="15.75" hidden="false" customHeight="true" outlineLevel="0" collapsed="false">
      <c r="A1" s="2" t="s">
        <v>533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true" outlineLevel="0" collapsed="false">
      <c r="A2" s="3" t="s">
        <v>534</v>
      </c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8" t="s">
        <v>535</v>
      </c>
      <c r="B3" s="9" t="n">
        <v>46263</v>
      </c>
      <c r="C3" s="8" t="s">
        <v>536</v>
      </c>
      <c r="D3" s="10" t="n">
        <v>180</v>
      </c>
    </row>
    <row r="5" customFormat="false" ht="23.25" hidden="false" customHeight="true" outlineLevel="0" collapsed="false">
      <c r="A5" s="4" t="s">
        <v>2</v>
      </c>
      <c r="B5" s="4" t="s">
        <v>3</v>
      </c>
      <c r="C5" s="4" t="s">
        <v>8</v>
      </c>
      <c r="D5" s="4" t="s">
        <v>537</v>
      </c>
      <c r="E5" s="4" t="s">
        <v>538</v>
      </c>
      <c r="F5" s="4" t="s">
        <v>539</v>
      </c>
      <c r="G5" s="4" t="s">
        <v>540</v>
      </c>
      <c r="H5" s="4" t="s">
        <v>541</v>
      </c>
      <c r="I5" s="4" t="s">
        <v>542</v>
      </c>
    </row>
    <row r="6" customFormat="false" ht="15" hidden="false" customHeight="true" outlineLevel="0" collapsed="false">
      <c r="A6" s="7" t="str">
        <f aca="false">Inventory!A5</f>
        <v>SYS-001</v>
      </c>
      <c r="B6" s="7" t="str">
        <f aca="false">Inventory!B5</f>
        <v>Card Transaction Fraud Scoring</v>
      </c>
      <c r="C6" s="7" t="str">
        <f aca="false">Inventory!G5</f>
        <v>High</v>
      </c>
      <c r="D6" s="7" t="str">
        <f aca="false">IF(Inventory!N5&lt;&gt;"complete","GAP","")</f>
        <v/>
      </c>
      <c r="E6" s="7" t="str">
        <f aca="false">IF(Inventory!O5="absent","GAP","")</f>
        <v/>
      </c>
      <c r="F6" s="7" t="str">
        <f aca="false">IF(Inventory!K5="unassigned","GAP","")</f>
        <v/>
      </c>
      <c r="G6" s="7" t="str">
        <f aca="false">IF(($B$3-Inventory!M5)&gt;$D$3,"STALE","")</f>
        <v/>
      </c>
      <c r="H6" s="7" t="n">
        <f aca="false">COUNTIF(D6:G6,"GAP")+COUNTIF(D6:G6,"STALE")</f>
        <v>0</v>
      </c>
      <c r="I6" s="7" t="str">
        <f aca="false">IF(AND(C6="High",H6&gt;=2),"P1-Critical",IF(OR(C6="High",H6&gt;=2),"P2-High",IF(H6&gt;=1,"P3-Medium","P4-Low")))</f>
        <v>P2-High</v>
      </c>
    </row>
    <row r="7" customFormat="false" ht="15" hidden="false" customHeight="true" outlineLevel="0" collapsed="false">
      <c r="A7" s="7" t="str">
        <f aca="false">Inventory!A6</f>
        <v>SYS-002</v>
      </c>
      <c r="B7" s="7" t="str">
        <f aca="false">Inventory!B6</f>
        <v>ATM Withdrawal Fraud Scoring</v>
      </c>
      <c r="C7" s="7" t="str">
        <f aca="false">Inventory!G6</f>
        <v>High</v>
      </c>
      <c r="D7" s="7" t="str">
        <f aca="false">IF(Inventory!N6&lt;&gt;"complete","GAP","")</f>
        <v/>
      </c>
      <c r="E7" s="7" t="str">
        <f aca="false">IF(Inventory!O6="absent","GAP","")</f>
        <v/>
      </c>
      <c r="F7" s="7" t="str">
        <f aca="false">IF(Inventory!K6="unassigned","GAP","")</f>
        <v/>
      </c>
      <c r="G7" s="7" t="str">
        <f aca="false">IF(($B$3-Inventory!M6)&gt;$D$3,"STALE","")</f>
        <v/>
      </c>
      <c r="H7" s="7" t="n">
        <f aca="false">COUNTIF(D7:G7,"GAP")+COUNTIF(D7:G7,"STALE")</f>
        <v>0</v>
      </c>
      <c r="I7" s="7" t="str">
        <f aca="false">IF(AND(C7="High",H7&gt;=2),"P1-Critical",IF(OR(C7="High",H7&gt;=2),"P2-High",IF(H7&gt;=1,"P3-Medium","P4-Low")))</f>
        <v>P2-High</v>
      </c>
    </row>
    <row r="8" customFormat="false" ht="15" hidden="false" customHeight="true" outlineLevel="0" collapsed="false">
      <c r="A8" s="7" t="str">
        <f aca="false">Inventory!A7</f>
        <v>SYS-003</v>
      </c>
      <c r="B8" s="7" t="str">
        <f aca="false">Inventory!B7</f>
        <v>Digital Channel Transfer Fraud Scoring</v>
      </c>
      <c r="C8" s="7" t="str">
        <f aca="false">Inventory!G7</f>
        <v>High</v>
      </c>
      <c r="D8" s="7" t="str">
        <f aca="false">IF(Inventory!N7&lt;&gt;"complete","GAP","")</f>
        <v/>
      </c>
      <c r="E8" s="7" t="str">
        <f aca="false">IF(Inventory!O7="absent","GAP","")</f>
        <v/>
      </c>
      <c r="F8" s="7" t="str">
        <f aca="false">IF(Inventory!K7="unassigned","GAP","")</f>
        <v/>
      </c>
      <c r="G8" s="7" t="str">
        <f aca="false">IF(($B$3-Inventory!M7)&gt;$D$3,"STALE","")</f>
        <v/>
      </c>
      <c r="H8" s="7" t="n">
        <f aca="false">COUNTIF(D8:G8,"GAP")+COUNTIF(D8:G8,"STALE")</f>
        <v>0</v>
      </c>
      <c r="I8" s="7" t="str">
        <f aca="false">IF(AND(C8="High",H8&gt;=2),"P1-Critical",IF(OR(C8="High",H8&gt;=2),"P2-High",IF(H8&gt;=1,"P3-Medium","P4-Low")))</f>
        <v>P2-High</v>
      </c>
    </row>
    <row r="9" customFormat="false" ht="15" hidden="false" customHeight="true" outlineLevel="0" collapsed="false">
      <c r="A9" s="7" t="str">
        <f aca="false">Inventory!A8</f>
        <v>SYS-004</v>
      </c>
      <c r="B9" s="7" t="str">
        <f aca="false">Inventory!B8</f>
        <v>Retail Credit Scoring Engine</v>
      </c>
      <c r="C9" s="7" t="str">
        <f aca="false">Inventory!G8</f>
        <v>High</v>
      </c>
      <c r="D9" s="7" t="str">
        <f aca="false">IF(Inventory!N8&lt;&gt;"complete","GAP","")</f>
        <v/>
      </c>
      <c r="E9" s="7" t="str">
        <f aca="false">IF(Inventory!O8="absent","GAP","")</f>
        <v/>
      </c>
      <c r="F9" s="7" t="str">
        <f aca="false">IF(Inventory!K8="unassigned","GAP","")</f>
        <v/>
      </c>
      <c r="G9" s="7" t="str">
        <f aca="false">IF(($B$3-Inventory!M8)&gt;$D$3,"STALE","")</f>
        <v/>
      </c>
      <c r="H9" s="7" t="n">
        <f aca="false">COUNTIF(D9:G9,"GAP")+COUNTIF(D9:G9,"STALE")</f>
        <v>0</v>
      </c>
      <c r="I9" s="7" t="str">
        <f aca="false">IF(AND(C9="High",H9&gt;=2),"P1-Critical",IF(OR(C9="High",H9&gt;=2),"P2-High",IF(H9&gt;=1,"P3-Medium","P4-Low")))</f>
        <v>P2-High</v>
      </c>
    </row>
    <row r="10" customFormat="false" ht="15" hidden="false" customHeight="true" outlineLevel="0" collapsed="false">
      <c r="A10" s="7" t="str">
        <f aca="false">Inventory!A9</f>
        <v>SYS-005</v>
      </c>
      <c r="B10" s="7" t="str">
        <f aca="false">Inventory!B9</f>
        <v>Credit Card Limit Prediction</v>
      </c>
      <c r="C10" s="7" t="str">
        <f aca="false">Inventory!G9</f>
        <v>High</v>
      </c>
      <c r="D10" s="7" t="str">
        <f aca="false">IF(Inventory!N9&lt;&gt;"complete","GAP","")</f>
        <v/>
      </c>
      <c r="E10" s="7" t="str">
        <f aca="false">IF(Inventory!O9="absent","GAP","")</f>
        <v/>
      </c>
      <c r="F10" s="7" t="str">
        <f aca="false">IF(Inventory!K9="unassigned","GAP","")</f>
        <v/>
      </c>
      <c r="G10" s="7" t="str">
        <f aca="false">IF(($B$3-Inventory!M9)&gt;$D$3,"STALE","")</f>
        <v/>
      </c>
      <c r="H10" s="7" t="n">
        <f aca="false">COUNTIF(D10:G10,"GAP")+COUNTIF(D10:G10,"STALE")</f>
        <v>0</v>
      </c>
      <c r="I10" s="7" t="str">
        <f aca="false">IF(AND(C10="High",H10&gt;=2),"P1-Critical",IF(OR(C10="High",H10&gt;=2),"P2-High",IF(H10&gt;=1,"P3-Medium","P4-Low")))</f>
        <v>P2-High</v>
      </c>
    </row>
    <row r="11" customFormat="false" ht="15" hidden="false" customHeight="true" outlineLevel="0" collapsed="false">
      <c r="A11" s="7" t="str">
        <f aca="false">Inventory!A10</f>
        <v>SYS-006</v>
      </c>
      <c r="B11" s="7" t="str">
        <f aca="false">Inventory!B10</f>
        <v>AML Transaction Monitoring</v>
      </c>
      <c r="C11" s="7" t="str">
        <f aca="false">Inventory!G10</f>
        <v>High</v>
      </c>
      <c r="D11" s="7" t="str">
        <f aca="false">IF(Inventory!N10&lt;&gt;"complete","GAP","")</f>
        <v/>
      </c>
      <c r="E11" s="7" t="str">
        <f aca="false">IF(Inventory!O10="absent","GAP","")</f>
        <v/>
      </c>
      <c r="F11" s="7" t="str">
        <f aca="false">IF(Inventory!K10="unassigned","GAP","")</f>
        <v/>
      </c>
      <c r="G11" s="7" t="str">
        <f aca="false">IF(($B$3-Inventory!M10)&gt;$D$3,"STALE","")</f>
        <v/>
      </c>
      <c r="H11" s="7" t="n">
        <f aca="false">COUNTIF(D11:G11,"GAP")+COUNTIF(D11:G11,"STALE")</f>
        <v>0</v>
      </c>
      <c r="I11" s="7" t="str">
        <f aca="false">IF(AND(C11="High",H11&gt;=2),"P1-Critical",IF(OR(C11="High",H11&gt;=2),"P2-High",IF(H11&gt;=1,"P3-Medium","P4-Low")))</f>
        <v>P2-High</v>
      </c>
    </row>
    <row r="12" customFormat="false" ht="15" hidden="false" customHeight="true" outlineLevel="0" collapsed="false">
      <c r="A12" s="7" t="str">
        <f aca="false">Inventory!A11</f>
        <v>SYS-007</v>
      </c>
      <c r="B12" s="7" t="str">
        <f aca="false">Inventory!B11</f>
        <v>Cross-Region ATM Anomaly Detection</v>
      </c>
      <c r="C12" s="7" t="str">
        <f aca="false">Inventory!G11</f>
        <v>High</v>
      </c>
      <c r="D12" s="7" t="str">
        <f aca="false">IF(Inventory!N11&lt;&gt;"complete","GAP","")</f>
        <v>GAP</v>
      </c>
      <c r="E12" s="7" t="str">
        <f aca="false">IF(Inventory!O11="absent","GAP","")</f>
        <v/>
      </c>
      <c r="F12" s="7" t="str">
        <f aca="false">IF(Inventory!K11="unassigned","GAP","")</f>
        <v/>
      </c>
      <c r="G12" s="7" t="str">
        <f aca="false">IF(($B$3-Inventory!M11)&gt;$D$3,"STALE","")</f>
        <v/>
      </c>
      <c r="H12" s="7" t="n">
        <f aca="false">COUNTIF(D12:G12,"GAP")+COUNTIF(D12:G12,"STALE")</f>
        <v>1</v>
      </c>
      <c r="I12" s="7" t="str">
        <f aca="false">IF(AND(C12="High",H12&gt;=2),"P1-Critical",IF(OR(C12="High",H12&gt;=2),"P2-High",IF(H12&gt;=1,"P3-Medium","P4-Low")))</f>
        <v>P2-High</v>
      </c>
    </row>
    <row r="13" customFormat="false" ht="15" hidden="false" customHeight="true" outlineLevel="0" collapsed="false">
      <c r="A13" s="7" t="str">
        <f aca="false">Inventory!A12</f>
        <v>SYS-008</v>
      </c>
      <c r="B13" s="7" t="str">
        <f aca="false">Inventory!B12</f>
        <v>Individual Collections Prediction</v>
      </c>
      <c r="C13" s="7" t="str">
        <f aca="false">Inventory!G12</f>
        <v>High</v>
      </c>
      <c r="D13" s="7" t="str">
        <f aca="false">IF(Inventory!N12&lt;&gt;"complete","GAP","")</f>
        <v>GAP</v>
      </c>
      <c r="E13" s="7" t="str">
        <f aca="false">IF(Inventory!O12="absent","GAP","")</f>
        <v/>
      </c>
      <c r="F13" s="7" t="str">
        <f aca="false">IF(Inventory!K12="unassigned","GAP","")</f>
        <v/>
      </c>
      <c r="G13" s="7" t="str">
        <f aca="false">IF(($B$3-Inventory!M12)&gt;$D$3,"STALE","")</f>
        <v>STALE</v>
      </c>
      <c r="H13" s="7" t="n">
        <f aca="false">COUNTIF(D13:G13,"GAP")+COUNTIF(D13:G13,"STALE")</f>
        <v>2</v>
      </c>
      <c r="I13" s="7" t="str">
        <f aca="false">IF(AND(C13="High",H13&gt;=2),"P1-Critical",IF(OR(C13="High",H13&gt;=2),"P2-High",IF(H13&gt;=1,"P3-Medium","P4-Low")))</f>
        <v>P1-Critical</v>
      </c>
    </row>
    <row r="14" customFormat="false" ht="15" hidden="false" customHeight="true" outlineLevel="0" collapsed="false">
      <c r="A14" s="7" t="str">
        <f aca="false">Inventory!A13</f>
        <v>SYS-009</v>
      </c>
      <c r="B14" s="7" t="str">
        <f aca="false">Inventory!B13</f>
        <v>Loan Default Early Warning</v>
      </c>
      <c r="C14" s="7" t="str">
        <f aca="false">Inventory!G13</f>
        <v>High</v>
      </c>
      <c r="D14" s="7" t="str">
        <f aca="false">IF(Inventory!N13&lt;&gt;"complete","GAP","")</f>
        <v/>
      </c>
      <c r="E14" s="7" t="str">
        <f aca="false">IF(Inventory!O13="absent","GAP","")</f>
        <v/>
      </c>
      <c r="F14" s="7" t="str">
        <f aca="false">IF(Inventory!K13="unassigned","GAP","")</f>
        <v/>
      </c>
      <c r="G14" s="7" t="str">
        <f aca="false">IF(($B$3-Inventory!M13)&gt;$D$3,"STALE","")</f>
        <v/>
      </c>
      <c r="H14" s="7" t="n">
        <f aca="false">COUNTIF(D14:G14,"GAP")+COUNTIF(D14:G14,"STALE")</f>
        <v>0</v>
      </c>
      <c r="I14" s="7" t="str">
        <f aca="false">IF(AND(C14="High",H14&gt;=2),"P1-Critical",IF(OR(C14="High",H14&gt;=2),"P2-High",IF(H14&gt;=1,"P3-Medium","P4-Low")))</f>
        <v>P2-High</v>
      </c>
    </row>
    <row r="15" customFormat="false" ht="15" hidden="false" customHeight="true" outlineLevel="0" collapsed="false">
      <c r="A15" s="7" t="str">
        <f aca="false">Inventory!A14</f>
        <v>SYS-010</v>
      </c>
      <c r="B15" s="7" t="str">
        <f aca="false">Inventory!B14</f>
        <v>Identity Photo Watchlist Similarity</v>
      </c>
      <c r="C15" s="7" t="str">
        <f aca="false">Inventory!G14</f>
        <v>High</v>
      </c>
      <c r="D15" s="7" t="str">
        <f aca="false">IF(Inventory!N14&lt;&gt;"complete","GAP","")</f>
        <v>GAP</v>
      </c>
      <c r="E15" s="7" t="str">
        <f aca="false">IF(Inventory!O14="absent","GAP","")</f>
        <v/>
      </c>
      <c r="F15" s="7" t="str">
        <f aca="false">IF(Inventory!K14="unassigned","GAP","")</f>
        <v/>
      </c>
      <c r="G15" s="7" t="str">
        <f aca="false">IF(($B$3-Inventory!M14)&gt;$D$3,"STALE","")</f>
        <v/>
      </c>
      <c r="H15" s="7" t="n">
        <f aca="false">COUNTIF(D15:G15,"GAP")+COUNTIF(D15:G15,"STALE")</f>
        <v>1</v>
      </c>
      <c r="I15" s="7" t="str">
        <f aca="false">IF(AND(C15="High",H15&gt;=2),"P1-Critical",IF(OR(C15="High",H15&gt;=2),"P2-High",IF(H15&gt;=1,"P3-Medium","P4-Low")))</f>
        <v>P2-High</v>
      </c>
    </row>
    <row r="16" customFormat="false" ht="15" hidden="false" customHeight="true" outlineLevel="0" collapsed="false">
      <c r="A16" s="7" t="str">
        <f aca="false">Inventory!A15</f>
        <v>SYS-011</v>
      </c>
      <c r="B16" s="7" t="str">
        <f aca="false">Inventory!B15</f>
        <v>Sensitive Field Redaction on ID Documents</v>
      </c>
      <c r="C16" s="7" t="str">
        <f aca="false">Inventory!G15</f>
        <v>High</v>
      </c>
      <c r="D16" s="7" t="str">
        <f aca="false">IF(Inventory!N15&lt;&gt;"complete","GAP","")</f>
        <v/>
      </c>
      <c r="E16" s="7" t="str">
        <f aca="false">IF(Inventory!O15="absent","GAP","")</f>
        <v/>
      </c>
      <c r="F16" s="7" t="str">
        <f aca="false">IF(Inventory!K15="unassigned","GAP","")</f>
        <v/>
      </c>
      <c r="G16" s="7" t="str">
        <f aca="false">IF(($B$3-Inventory!M15)&gt;$D$3,"STALE","")</f>
        <v/>
      </c>
      <c r="H16" s="7" t="n">
        <f aca="false">COUNTIF(D16:G16,"GAP")+COUNTIF(D16:G16,"STALE")</f>
        <v>0</v>
      </c>
      <c r="I16" s="7" t="str">
        <f aca="false">IF(AND(C16="High",H16&gt;=2),"P1-Critical",IF(OR(C16="High",H16&gt;=2),"P2-High",IF(H16&gt;=1,"P3-Medium","P4-Low")))</f>
        <v>P2-High</v>
      </c>
    </row>
    <row r="17" customFormat="false" ht="15" hidden="false" customHeight="true" outlineLevel="0" collapsed="false">
      <c r="A17" s="7" t="str">
        <f aca="false">Inventory!A16</f>
        <v>SYS-012</v>
      </c>
      <c r="B17" s="7" t="str">
        <f aca="false">Inventory!B16</f>
        <v>Customer Churn Prediction</v>
      </c>
      <c r="C17" s="7" t="str">
        <f aca="false">Inventory!G16</f>
        <v>Medium</v>
      </c>
      <c r="D17" s="7" t="str">
        <f aca="false">IF(Inventory!N16&lt;&gt;"complete","GAP","")</f>
        <v>GAP</v>
      </c>
      <c r="E17" s="7" t="str">
        <f aca="false">IF(Inventory!O16="absent","GAP","")</f>
        <v/>
      </c>
      <c r="F17" s="7" t="str">
        <f aca="false">IF(Inventory!K16="unassigned","GAP","")</f>
        <v/>
      </c>
      <c r="G17" s="7" t="str">
        <f aca="false">IF(($B$3-Inventory!M16)&gt;$D$3,"STALE","")</f>
        <v>STALE</v>
      </c>
      <c r="H17" s="7" t="n">
        <f aca="false">COUNTIF(D17:G17,"GAP")+COUNTIF(D17:G17,"STALE")</f>
        <v>2</v>
      </c>
      <c r="I17" s="7" t="str">
        <f aca="false">IF(AND(C17="High",H17&gt;=2),"P1-Critical",IF(OR(C17="High",H17&gt;=2),"P2-High",IF(H17&gt;=1,"P3-Medium","P4-Low")))</f>
        <v>P2-High</v>
      </c>
    </row>
    <row r="18" customFormat="false" ht="15" hidden="false" customHeight="true" outlineLevel="0" collapsed="false">
      <c r="A18" s="7" t="str">
        <f aca="false">Inventory!A17</f>
        <v>SYS-013</v>
      </c>
      <c r="B18" s="7" t="str">
        <f aca="false">Inventory!B17</f>
        <v>Product Propensity Models</v>
      </c>
      <c r="C18" s="7" t="str">
        <f aca="false">Inventory!G17</f>
        <v>Medium</v>
      </c>
      <c r="D18" s="7" t="str">
        <f aca="false">IF(Inventory!N17&lt;&gt;"complete","GAP","")</f>
        <v>GAP</v>
      </c>
      <c r="E18" s="7" t="str">
        <f aca="false">IF(Inventory!O17="absent","GAP","")</f>
        <v>GAP</v>
      </c>
      <c r="F18" s="7" t="str">
        <f aca="false">IF(Inventory!K17="unassigned","GAP","")</f>
        <v>GAP</v>
      </c>
      <c r="G18" s="7" t="str">
        <f aca="false">IF(($B$3-Inventory!M17)&gt;$D$3,"STALE","")</f>
        <v>STALE</v>
      </c>
      <c r="H18" s="7" t="n">
        <f aca="false">COUNTIF(D18:G18,"GAP")+COUNTIF(D18:G18,"STALE")</f>
        <v>4</v>
      </c>
      <c r="I18" s="7" t="str">
        <f aca="false">IF(AND(C18="High",H18&gt;=2),"P1-Critical",IF(OR(C18="High",H18&gt;=2),"P2-High",IF(H18&gt;=1,"P3-Medium","P4-Low")))</f>
        <v>P2-High</v>
      </c>
    </row>
    <row r="19" customFormat="false" ht="15" hidden="false" customHeight="true" outlineLevel="0" collapsed="false">
      <c r="A19" s="7" t="str">
        <f aca="false">Inventory!A18</f>
        <v>SYS-014</v>
      </c>
      <c r="B19" s="7" t="str">
        <f aca="false">Inventory!B18</f>
        <v>Behavioural Customer Segmentation</v>
      </c>
      <c r="C19" s="7" t="str">
        <f aca="false">Inventory!G18</f>
        <v>Medium</v>
      </c>
      <c r="D19" s="7" t="str">
        <f aca="false">IF(Inventory!N18&lt;&gt;"complete","GAP","")</f>
        <v>GAP</v>
      </c>
      <c r="E19" s="7" t="str">
        <f aca="false">IF(Inventory!O18="absent","GAP","")</f>
        <v>GAP</v>
      </c>
      <c r="F19" s="7" t="str">
        <f aca="false">IF(Inventory!K18="unassigned","GAP","")</f>
        <v>GAP</v>
      </c>
      <c r="G19" s="7" t="str">
        <f aca="false">IF(($B$3-Inventory!M18)&gt;$D$3,"STALE","")</f>
        <v>STALE</v>
      </c>
      <c r="H19" s="7" t="n">
        <f aca="false">COUNTIF(D19:G19,"GAP")+COUNTIF(D19:G19,"STALE")</f>
        <v>4</v>
      </c>
      <c r="I19" s="7" t="str">
        <f aca="false">IF(AND(C19="High",H19&gt;=2),"P1-Critical",IF(OR(C19="High",H19&gt;=2),"P2-High",IF(H19&gt;=1,"P3-Medium","P4-Low")))</f>
        <v>P2-High</v>
      </c>
    </row>
    <row r="20" customFormat="false" ht="15" hidden="false" customHeight="true" outlineLevel="0" collapsed="false">
      <c r="A20" s="7" t="str">
        <f aca="false">Inventory!A19</f>
        <v>SYS-015</v>
      </c>
      <c r="B20" s="7" t="str">
        <f aca="false">Inventory!B19</f>
        <v>Marketing Campaign Optimiser</v>
      </c>
      <c r="C20" s="7" t="str">
        <f aca="false">Inventory!G19</f>
        <v>Medium</v>
      </c>
      <c r="D20" s="7" t="str">
        <f aca="false">IF(Inventory!N19&lt;&gt;"complete","GAP","")</f>
        <v>GAP</v>
      </c>
      <c r="E20" s="7" t="str">
        <f aca="false">IF(Inventory!O19="absent","GAP","")</f>
        <v>GAP</v>
      </c>
      <c r="F20" s="7" t="str">
        <f aca="false">IF(Inventory!K19="unassigned","GAP","")</f>
        <v>GAP</v>
      </c>
      <c r="G20" s="7" t="str">
        <f aca="false">IF(($B$3-Inventory!M19)&gt;$D$3,"STALE","")</f>
        <v>STALE</v>
      </c>
      <c r="H20" s="7" t="n">
        <f aca="false">COUNTIF(D20:G20,"GAP")+COUNTIF(D20:G20,"STALE")</f>
        <v>4</v>
      </c>
      <c r="I20" s="7" t="str">
        <f aca="false">IF(AND(C20="High",H20&gt;=2),"P1-Critical",IF(OR(C20="High",H20&gt;=2),"P2-High",IF(H20&gt;=1,"P3-Medium","P4-Low")))</f>
        <v>P2-High</v>
      </c>
    </row>
    <row r="21" customFormat="false" ht="15" hidden="false" customHeight="true" outlineLevel="0" collapsed="false">
      <c r="A21" s="7" t="str">
        <f aca="false">Inventory!A20</f>
        <v>SYS-016</v>
      </c>
      <c r="B21" s="7" t="str">
        <f aca="false">Inventory!B20</f>
        <v>Survey Free-Text Categorisation</v>
      </c>
      <c r="C21" s="7" t="str">
        <f aca="false">Inventory!G20</f>
        <v>Low</v>
      </c>
      <c r="D21" s="7" t="str">
        <f aca="false">IF(Inventory!N20&lt;&gt;"complete","GAP","")</f>
        <v/>
      </c>
      <c r="E21" s="7" t="str">
        <f aca="false">IF(Inventory!O20="absent","GAP","")</f>
        <v/>
      </c>
      <c r="F21" s="7" t="str">
        <f aca="false">IF(Inventory!K20="unassigned","GAP","")</f>
        <v/>
      </c>
      <c r="G21" s="7" t="str">
        <f aca="false">IF(($B$3-Inventory!M20)&gt;$D$3,"STALE","")</f>
        <v/>
      </c>
      <c r="H21" s="7" t="n">
        <f aca="false">COUNTIF(D21:G21,"GAP")+COUNTIF(D21:G21,"STALE")</f>
        <v>0</v>
      </c>
      <c r="I21" s="7" t="str">
        <f aca="false">IF(AND(C21="High",H21&gt;=2),"P1-Critical",IF(OR(C21="High",H21&gt;=2),"P2-High",IF(H21&gt;=1,"P3-Medium","P4-Low")))</f>
        <v>P4-Low</v>
      </c>
    </row>
    <row r="22" customFormat="false" ht="15" hidden="false" customHeight="true" outlineLevel="0" collapsed="false">
      <c r="A22" s="7" t="str">
        <f aca="false">Inventory!A21</f>
        <v>SYS-017</v>
      </c>
      <c r="B22" s="7" t="str">
        <f aca="false">Inventory!B21</f>
        <v>Automated Complaint Categorisation</v>
      </c>
      <c r="C22" s="7" t="str">
        <f aca="false">Inventory!G21</f>
        <v>Medium</v>
      </c>
      <c r="D22" s="7" t="str">
        <f aca="false">IF(Inventory!N21&lt;&gt;"complete","GAP","")</f>
        <v/>
      </c>
      <c r="E22" s="7" t="str">
        <f aca="false">IF(Inventory!O21="absent","GAP","")</f>
        <v/>
      </c>
      <c r="F22" s="7" t="str">
        <f aca="false">IF(Inventory!K21="unassigned","GAP","")</f>
        <v/>
      </c>
      <c r="G22" s="7" t="str">
        <f aca="false">IF(($B$3-Inventory!M21)&gt;$D$3,"STALE","")</f>
        <v/>
      </c>
      <c r="H22" s="7" t="n">
        <f aca="false">COUNTIF(D22:G22,"GAP")+COUNTIF(D22:G22,"STALE")</f>
        <v>0</v>
      </c>
      <c r="I22" s="7" t="str">
        <f aca="false">IF(AND(C22="High",H22&gt;=2),"P1-Critical",IF(OR(C22="High",H22&gt;=2),"P2-High",IF(H22&gt;=1,"P3-Medium","P4-Low")))</f>
        <v>P4-Low</v>
      </c>
    </row>
    <row r="23" customFormat="false" ht="15" hidden="false" customHeight="true" outlineLevel="0" collapsed="false">
      <c r="A23" s="7" t="str">
        <f aca="false">Inventory!A22</f>
        <v>SYS-018</v>
      </c>
      <c r="B23" s="7" t="str">
        <f aca="false">Inventory!B22</f>
        <v>Call Centre Speech Analytics</v>
      </c>
      <c r="C23" s="7" t="str">
        <f aca="false">Inventory!G22</f>
        <v>Medium</v>
      </c>
      <c r="D23" s="7" t="str">
        <f aca="false">IF(Inventory!N22&lt;&gt;"complete","GAP","")</f>
        <v>GAP</v>
      </c>
      <c r="E23" s="7" t="str">
        <f aca="false">IF(Inventory!O22="absent","GAP","")</f>
        <v>GAP</v>
      </c>
      <c r="F23" s="7" t="str">
        <f aca="false">IF(Inventory!K22="unassigned","GAP","")</f>
        <v>GAP</v>
      </c>
      <c r="G23" s="7" t="str">
        <f aca="false">IF(($B$3-Inventory!M22)&gt;$D$3,"STALE","")</f>
        <v>STALE</v>
      </c>
      <c r="H23" s="7" t="n">
        <f aca="false">COUNTIF(D23:G23,"GAP")+COUNTIF(D23:G23,"STALE")</f>
        <v>4</v>
      </c>
      <c r="I23" s="7" t="str">
        <f aca="false">IF(AND(C23="High",H23&gt;=2),"P1-Critical",IF(OR(C23="High",H23&gt;=2),"P2-High",IF(H23&gt;=1,"P3-Medium","P4-Low")))</f>
        <v>P2-High</v>
      </c>
    </row>
    <row r="24" customFormat="false" ht="15" hidden="false" customHeight="true" outlineLevel="0" collapsed="false">
      <c r="A24" s="7" t="str">
        <f aca="false">Inventory!A23</f>
        <v>SYS-019</v>
      </c>
      <c r="B24" s="7" t="str">
        <f aca="false">Inventory!B23</f>
        <v>Multilingual Virtual Assistant</v>
      </c>
      <c r="C24" s="7" t="str">
        <f aca="false">Inventory!G23</f>
        <v>Medium</v>
      </c>
      <c r="D24" s="7" t="str">
        <f aca="false">IF(Inventory!N23&lt;&gt;"complete","GAP","")</f>
        <v>GAP</v>
      </c>
      <c r="E24" s="7" t="str">
        <f aca="false">IF(Inventory!O23="absent","GAP","")</f>
        <v/>
      </c>
      <c r="F24" s="7" t="str">
        <f aca="false">IF(Inventory!K23="unassigned","GAP","")</f>
        <v/>
      </c>
      <c r="G24" s="7" t="str">
        <f aca="false">IF(($B$3-Inventory!M23)&gt;$D$3,"STALE","")</f>
        <v/>
      </c>
      <c r="H24" s="7" t="n">
        <f aca="false">COUNTIF(D24:G24,"GAP")+COUNTIF(D24:G24,"STALE")</f>
        <v>1</v>
      </c>
      <c r="I24" s="7" t="str">
        <f aca="false">IF(AND(C24="High",H24&gt;=2),"P1-Critical",IF(OR(C24="High",H24&gt;=2),"P2-High",IF(H24&gt;=1,"P3-Medium","P4-Low")))</f>
        <v>P3-Medium</v>
      </c>
    </row>
    <row r="25" customFormat="false" ht="15" hidden="false" customHeight="true" outlineLevel="0" collapsed="false">
      <c r="A25" s="7" t="str">
        <f aca="false">Inventory!A24</f>
        <v>SYS-020</v>
      </c>
      <c r="B25" s="7" t="str">
        <f aca="false">Inventory!B24</f>
        <v>Cheque Signature Presence Detection</v>
      </c>
      <c r="C25" s="7" t="str">
        <f aca="false">Inventory!G24</f>
        <v>Medium</v>
      </c>
      <c r="D25" s="7" t="str">
        <f aca="false">IF(Inventory!N24&lt;&gt;"complete","GAP","")</f>
        <v/>
      </c>
      <c r="E25" s="7" t="str">
        <f aca="false">IF(Inventory!O24="absent","GAP","")</f>
        <v/>
      </c>
      <c r="F25" s="7" t="str">
        <f aca="false">IF(Inventory!K24="unassigned","GAP","")</f>
        <v/>
      </c>
      <c r="G25" s="7" t="str">
        <f aca="false">IF(($B$3-Inventory!M24)&gt;$D$3,"STALE","")</f>
        <v>STALE</v>
      </c>
      <c r="H25" s="7" t="n">
        <f aca="false">COUNTIF(D25:G25,"GAP")+COUNTIF(D25:G25,"STALE")</f>
        <v>1</v>
      </c>
      <c r="I25" s="7" t="str">
        <f aca="false">IF(AND(C25="High",H25&gt;=2),"P1-Critical",IF(OR(C25="High",H25&gt;=2),"P2-High",IF(H25&gt;=1,"P3-Medium","P4-Low")))</f>
        <v>P3-Medium</v>
      </c>
    </row>
    <row r="26" customFormat="false" ht="15" hidden="false" customHeight="true" outlineLevel="0" collapsed="false">
      <c r="A26" s="7" t="str">
        <f aca="false">Inventory!A25</f>
        <v>SYS-021</v>
      </c>
      <c r="B26" s="7" t="str">
        <f aca="false">Inventory!B25</f>
        <v>Signature Verification Against Circulars</v>
      </c>
      <c r="C26" s="7" t="str">
        <f aca="false">Inventory!G25</f>
        <v>High</v>
      </c>
      <c r="D26" s="7" t="str">
        <f aca="false">IF(Inventory!N25&lt;&gt;"complete","GAP","")</f>
        <v/>
      </c>
      <c r="E26" s="7" t="str">
        <f aca="false">IF(Inventory!O25="absent","GAP","")</f>
        <v/>
      </c>
      <c r="F26" s="7" t="str">
        <f aca="false">IF(Inventory!K25="unassigned","GAP","")</f>
        <v/>
      </c>
      <c r="G26" s="7" t="str">
        <f aca="false">IF(($B$3-Inventory!M25)&gt;$D$3,"STALE","")</f>
        <v/>
      </c>
      <c r="H26" s="7" t="n">
        <f aca="false">COUNTIF(D26:G26,"GAP")+COUNTIF(D26:G26,"STALE")</f>
        <v>0</v>
      </c>
      <c r="I26" s="7" t="str">
        <f aca="false">IF(AND(C26="High",H26&gt;=2),"P1-Critical",IF(OR(C26="High",H26&gt;=2),"P2-High",IF(H26&gt;=1,"P3-Medium","P4-Low")))</f>
        <v>P2-High</v>
      </c>
    </row>
    <row r="27" customFormat="false" ht="15" hidden="false" customHeight="true" outlineLevel="0" collapsed="false">
      <c r="A27" s="7" t="str">
        <f aca="false">Inventory!A26</f>
        <v>SYS-022</v>
      </c>
      <c r="B27" s="7" t="str">
        <f aca="false">Inventory!B26</f>
        <v>Identity Document Entity Extraction</v>
      </c>
      <c r="C27" s="7" t="str">
        <f aca="false">Inventory!G26</f>
        <v>Medium</v>
      </c>
      <c r="D27" s="7" t="str">
        <f aca="false">IF(Inventory!N26&lt;&gt;"complete","GAP","")</f>
        <v/>
      </c>
      <c r="E27" s="7" t="str">
        <f aca="false">IF(Inventory!O26="absent","GAP","")</f>
        <v/>
      </c>
      <c r="F27" s="7" t="str">
        <f aca="false">IF(Inventory!K26="unassigned","GAP","")</f>
        <v/>
      </c>
      <c r="G27" s="7" t="str">
        <f aca="false">IF(($B$3-Inventory!M26)&gt;$D$3,"STALE","")</f>
        <v/>
      </c>
      <c r="H27" s="7" t="n">
        <f aca="false">COUNTIF(D27:G27,"GAP")+COUNTIF(D27:G27,"STALE")</f>
        <v>0</v>
      </c>
      <c r="I27" s="7" t="str">
        <f aca="false">IF(AND(C27="High",H27&gt;=2),"P1-Critical",IF(OR(C27="High",H27&gt;=2),"P2-High",IF(H27&gt;=1,"P3-Medium","P4-Low")))</f>
        <v>P4-Low</v>
      </c>
    </row>
    <row r="28" customFormat="false" ht="15" hidden="false" customHeight="true" outlineLevel="0" collapsed="false">
      <c r="A28" s="7" t="str">
        <f aca="false">Inventory!A27</f>
        <v>SYS-023</v>
      </c>
      <c r="B28" s="7" t="str">
        <f aca="false">Inventory!B27</f>
        <v>Cheque Entity Extraction</v>
      </c>
      <c r="C28" s="7" t="str">
        <f aca="false">Inventory!G27</f>
        <v>Medium</v>
      </c>
      <c r="D28" s="7" t="str">
        <f aca="false">IF(Inventory!N27&lt;&gt;"complete","GAP","")</f>
        <v/>
      </c>
      <c r="E28" s="7" t="str">
        <f aca="false">IF(Inventory!O27="absent","GAP","")</f>
        <v/>
      </c>
      <c r="F28" s="7" t="str">
        <f aca="false">IF(Inventory!K27="unassigned","GAP","")</f>
        <v/>
      </c>
      <c r="G28" s="7" t="str">
        <f aca="false">IF(($B$3-Inventory!M27)&gt;$D$3,"STALE","")</f>
        <v/>
      </c>
      <c r="H28" s="7" t="n">
        <f aca="false">COUNTIF(D28:G28,"GAP")+COUNTIF(D28:G28,"STALE")</f>
        <v>0</v>
      </c>
      <c r="I28" s="7" t="str">
        <f aca="false">IF(AND(C28="High",H28&gt;=2),"P1-Critical",IF(OR(C28="High",H28&gt;=2),"P2-High",IF(H28&gt;=1,"P3-Medium","P4-Low")))</f>
        <v>P4-Low</v>
      </c>
    </row>
    <row r="29" customFormat="false" ht="15" hidden="false" customHeight="true" outlineLevel="0" collapsed="false">
      <c r="A29" s="7" t="str">
        <f aca="false">Inventory!A28</f>
        <v>SYS-024</v>
      </c>
      <c r="B29" s="7" t="str">
        <f aca="false">Inventory!B28</f>
        <v>Trade Finance Document Entity Extraction</v>
      </c>
      <c r="C29" s="7" t="str">
        <f aca="false">Inventory!G28</f>
        <v>Medium</v>
      </c>
      <c r="D29" s="7" t="str">
        <f aca="false">IF(Inventory!N28&lt;&gt;"complete","GAP","")</f>
        <v>GAP</v>
      </c>
      <c r="E29" s="7" t="str">
        <f aca="false">IF(Inventory!O28="absent","GAP","")</f>
        <v/>
      </c>
      <c r="F29" s="7" t="str">
        <f aca="false">IF(Inventory!K28="unassigned","GAP","")</f>
        <v/>
      </c>
      <c r="G29" s="7" t="str">
        <f aca="false">IF(($B$3-Inventory!M28)&gt;$D$3,"STALE","")</f>
        <v/>
      </c>
      <c r="H29" s="7" t="n">
        <f aca="false">COUNTIF(D29:G29,"GAP")+COUNTIF(D29:G29,"STALE")</f>
        <v>1</v>
      </c>
      <c r="I29" s="7" t="str">
        <f aca="false">IF(AND(C29="High",H29&gt;=2),"P1-Critical",IF(OR(C29="High",H29&gt;=2),"P2-High",IF(H29&gt;=1,"P3-Medium","P4-Low")))</f>
        <v>P3-Medium</v>
      </c>
    </row>
    <row r="30" customFormat="false" ht="15" hidden="false" customHeight="true" outlineLevel="0" collapsed="false">
      <c r="A30" s="7" t="str">
        <f aca="false">Inventory!A29</f>
        <v>SYS-025</v>
      </c>
      <c r="B30" s="7" t="str">
        <f aca="false">Inventory!B29</f>
        <v>Registered E-Mail Document Classification</v>
      </c>
      <c r="C30" s="7" t="str">
        <f aca="false">Inventory!G29</f>
        <v>Medium</v>
      </c>
      <c r="D30" s="7" t="str">
        <f aca="false">IF(Inventory!N29&lt;&gt;"complete","GAP","")</f>
        <v>GAP</v>
      </c>
      <c r="E30" s="7" t="str">
        <f aca="false">IF(Inventory!O29="absent","GAP","")</f>
        <v>GAP</v>
      </c>
      <c r="F30" s="7" t="str">
        <f aca="false">IF(Inventory!K29="unassigned","GAP","")</f>
        <v>GAP</v>
      </c>
      <c r="G30" s="7" t="str">
        <f aca="false">IF(($B$3-Inventory!M29)&gt;$D$3,"STALE","")</f>
        <v>STALE</v>
      </c>
      <c r="H30" s="7" t="n">
        <f aca="false">COUNTIF(D30:G30,"GAP")+COUNTIF(D30:G30,"STALE")</f>
        <v>4</v>
      </c>
      <c r="I30" s="7" t="str">
        <f aca="false">IF(AND(C30="High",H30&gt;=2),"P1-Critical",IF(OR(C30="High",H30&gt;=2),"P2-High",IF(H30&gt;=1,"P3-Medium","P4-Low")))</f>
        <v>P2-High</v>
      </c>
    </row>
    <row r="31" customFormat="false" ht="15" hidden="false" customHeight="true" outlineLevel="0" collapsed="false">
      <c r="A31" s="7" t="str">
        <f aca="false">Inventory!A30</f>
        <v>SYS-026</v>
      </c>
      <c r="B31" s="7" t="str">
        <f aca="false">Inventory!B30</f>
        <v>Mortgage Document Entity Extraction</v>
      </c>
      <c r="C31" s="7" t="str">
        <f aca="false">Inventory!G30</f>
        <v>Medium</v>
      </c>
      <c r="D31" s="7" t="str">
        <f aca="false">IF(Inventory!N30&lt;&gt;"complete","GAP","")</f>
        <v>GAP</v>
      </c>
      <c r="E31" s="7" t="str">
        <f aca="false">IF(Inventory!O30="absent","GAP","")</f>
        <v/>
      </c>
      <c r="F31" s="7" t="str">
        <f aca="false">IF(Inventory!K30="unassigned","GAP","")</f>
        <v/>
      </c>
      <c r="G31" s="7" t="str">
        <f aca="false">IF(($B$3-Inventory!M30)&gt;$D$3,"STALE","")</f>
        <v/>
      </c>
      <c r="H31" s="7" t="n">
        <f aca="false">COUNTIF(D31:G31,"GAP")+COUNTIF(D31:G31,"STALE")</f>
        <v>1</v>
      </c>
      <c r="I31" s="7" t="str">
        <f aca="false">IF(AND(C31="High",H31&gt;=2),"P1-Critical",IF(OR(C31="High",H31&gt;=2),"P2-High",IF(H31&gt;=1,"P3-Medium","P4-Low")))</f>
        <v>P3-Medium</v>
      </c>
    </row>
    <row r="32" customFormat="false" ht="15" hidden="false" customHeight="true" outlineLevel="0" collapsed="false">
      <c r="A32" s="7" t="str">
        <f aca="false">Inventory!A31</f>
        <v>SYS-027</v>
      </c>
      <c r="B32" s="7" t="str">
        <f aca="false">Inventory!B31</f>
        <v>Financial Statement PDF Digitisation</v>
      </c>
      <c r="C32" s="7" t="str">
        <f aca="false">Inventory!G31</f>
        <v>Medium</v>
      </c>
      <c r="D32" s="7" t="str">
        <f aca="false">IF(Inventory!N31&lt;&gt;"complete","GAP","")</f>
        <v>GAP</v>
      </c>
      <c r="E32" s="7" t="str">
        <f aca="false">IF(Inventory!O31="absent","GAP","")</f>
        <v/>
      </c>
      <c r="F32" s="7" t="str">
        <f aca="false">IF(Inventory!K31="unassigned","GAP","")</f>
        <v/>
      </c>
      <c r="G32" s="7" t="str">
        <f aca="false">IF(($B$3-Inventory!M31)&gt;$D$3,"STALE","")</f>
        <v>STALE</v>
      </c>
      <c r="H32" s="7" t="n">
        <f aca="false">COUNTIF(D32:G32,"GAP")+COUNTIF(D32:G32,"STALE")</f>
        <v>2</v>
      </c>
      <c r="I32" s="7" t="str">
        <f aca="false">IF(AND(C32="High",H32&gt;=2),"P1-Critical",IF(OR(C32="High",H32&gt;=2),"P2-High",IF(H32&gt;=1,"P3-Medium","P4-Low")))</f>
        <v>P2-High</v>
      </c>
    </row>
    <row r="33" customFormat="false" ht="15" hidden="false" customHeight="true" outlineLevel="0" collapsed="false">
      <c r="A33" s="7" t="str">
        <f aca="false">Inventory!A32</f>
        <v>SYS-028</v>
      </c>
      <c r="B33" s="7" t="str">
        <f aca="false">Inventory!B32</f>
        <v>Contract Text Template Matching</v>
      </c>
      <c r="C33" s="7" t="str">
        <f aca="false">Inventory!G32</f>
        <v>Medium</v>
      </c>
      <c r="D33" s="7" t="str">
        <f aca="false">IF(Inventory!N32&lt;&gt;"complete","GAP","")</f>
        <v>GAP</v>
      </c>
      <c r="E33" s="7" t="str">
        <f aca="false">IF(Inventory!O32="absent","GAP","")</f>
        <v/>
      </c>
      <c r="F33" s="7" t="str">
        <f aca="false">IF(Inventory!K32="unassigned","GAP","")</f>
        <v/>
      </c>
      <c r="G33" s="7" t="str">
        <f aca="false">IF(($B$3-Inventory!M32)&gt;$D$3,"STALE","")</f>
        <v/>
      </c>
      <c r="H33" s="7" t="n">
        <f aca="false">COUNTIF(D33:G33,"GAP")+COUNTIF(D33:G33,"STALE")</f>
        <v>1</v>
      </c>
      <c r="I33" s="7" t="str">
        <f aca="false">IF(AND(C33="High",H33&gt;=2),"P1-Critical",IF(OR(C33="High",H33&gt;=2),"P2-High",IF(H33&gt;=1,"P3-Medium","P4-Low")))</f>
        <v>P3-Medium</v>
      </c>
    </row>
    <row r="34" customFormat="false" ht="15" hidden="false" customHeight="true" outlineLevel="0" collapsed="false">
      <c r="A34" s="7" t="str">
        <f aca="false">Inventory!A33</f>
        <v>SYS-029</v>
      </c>
      <c r="B34" s="7" t="str">
        <f aca="false">Inventory!B33</f>
        <v>Commercial Financing Pricing Model</v>
      </c>
      <c r="C34" s="7" t="str">
        <f aca="false">Inventory!G33</f>
        <v>Medium</v>
      </c>
      <c r="D34" s="7" t="str">
        <f aca="false">IF(Inventory!N33&lt;&gt;"complete","GAP","")</f>
        <v/>
      </c>
      <c r="E34" s="7" t="str">
        <f aca="false">IF(Inventory!O33="absent","GAP","")</f>
        <v/>
      </c>
      <c r="F34" s="7" t="str">
        <f aca="false">IF(Inventory!K33="unassigned","GAP","")</f>
        <v/>
      </c>
      <c r="G34" s="7" t="str">
        <f aca="false">IF(($B$3-Inventory!M33)&gt;$D$3,"STALE","")</f>
        <v/>
      </c>
      <c r="H34" s="7" t="n">
        <f aca="false">COUNTIF(D34:G34,"GAP")+COUNTIF(D34:G34,"STALE")</f>
        <v>0</v>
      </c>
      <c r="I34" s="7" t="str">
        <f aca="false">IF(AND(C34="High",H34&gt;=2),"P1-Critical",IF(OR(C34="High",H34&gt;=2),"P2-High",IF(H34&gt;=1,"P3-Medium","P4-Low")))</f>
        <v>P4-Low</v>
      </c>
    </row>
    <row r="35" customFormat="false" ht="15" hidden="false" customHeight="true" outlineLevel="0" collapsed="false">
      <c r="A35" s="7" t="str">
        <f aca="false">Inventory!A34</f>
        <v>SYS-030</v>
      </c>
      <c r="B35" s="7" t="str">
        <f aca="false">Inventory!B34</f>
        <v>Guarantee Letter Pricing Model</v>
      </c>
      <c r="C35" s="7" t="str">
        <f aca="false">Inventory!G34</f>
        <v>Medium</v>
      </c>
      <c r="D35" s="7" t="str">
        <f aca="false">IF(Inventory!N34&lt;&gt;"complete","GAP","")</f>
        <v>GAP</v>
      </c>
      <c r="E35" s="7" t="str">
        <f aca="false">IF(Inventory!O34="absent","GAP","")</f>
        <v/>
      </c>
      <c r="F35" s="7" t="str">
        <f aca="false">IF(Inventory!K34="unassigned","GAP","")</f>
        <v/>
      </c>
      <c r="G35" s="7" t="str">
        <f aca="false">IF(($B$3-Inventory!M34)&gt;$D$3,"STALE","")</f>
        <v>STALE</v>
      </c>
      <c r="H35" s="7" t="n">
        <f aca="false">COUNTIF(D35:G35,"GAP")+COUNTIF(D35:G35,"STALE")</f>
        <v>2</v>
      </c>
      <c r="I35" s="7" t="str">
        <f aca="false">IF(AND(C35="High",H35&gt;=2),"P1-Critical",IF(OR(C35="High",H35&gt;=2),"P2-High",IF(H35&gt;=1,"P3-Medium","P4-Low")))</f>
        <v>P2-High</v>
      </c>
    </row>
    <row r="36" customFormat="false" ht="15" hidden="false" customHeight="true" outlineLevel="0" collapsed="false">
      <c r="A36" s="7" t="str">
        <f aca="false">Inventory!A35</f>
        <v>SYS-031</v>
      </c>
      <c r="B36" s="7" t="str">
        <f aca="false">Inventory!B35</f>
        <v>Corporate Media Intelligence Screening</v>
      </c>
      <c r="C36" s="7" t="str">
        <f aca="false">Inventory!G35</f>
        <v>Medium</v>
      </c>
      <c r="D36" s="7" t="str">
        <f aca="false">IF(Inventory!N35&lt;&gt;"complete","GAP","")</f>
        <v>GAP</v>
      </c>
      <c r="E36" s="7" t="str">
        <f aca="false">IF(Inventory!O35="absent","GAP","")</f>
        <v>GAP</v>
      </c>
      <c r="F36" s="7" t="str">
        <f aca="false">IF(Inventory!K35="unassigned","GAP","")</f>
        <v/>
      </c>
      <c r="G36" s="7" t="str">
        <f aca="false">IF(($B$3-Inventory!M35)&gt;$D$3,"STALE","")</f>
        <v>STALE</v>
      </c>
      <c r="H36" s="7" t="n">
        <f aca="false">COUNTIF(D36:G36,"GAP")+COUNTIF(D36:G36,"STALE")</f>
        <v>3</v>
      </c>
      <c r="I36" s="7" t="str">
        <f aca="false">IF(AND(C36="High",H36&gt;=2),"P1-Critical",IF(OR(C36="High",H36&gt;=2),"P2-High",IF(H36&gt;=1,"P3-Medium","P4-Low")))</f>
        <v>P2-High</v>
      </c>
    </row>
    <row r="37" customFormat="false" ht="15" hidden="false" customHeight="true" outlineLevel="0" collapsed="false">
      <c r="A37" s="7" t="str">
        <f aca="false">Inventory!A36</f>
        <v>SYS-032</v>
      </c>
      <c r="B37" s="7" t="str">
        <f aca="false">Inventory!B36</f>
        <v>QR and DataMatrix Code Reading Service</v>
      </c>
      <c r="C37" s="7" t="str">
        <f aca="false">Inventory!G36</f>
        <v>Low</v>
      </c>
      <c r="D37" s="7" t="str">
        <f aca="false">IF(Inventory!N36&lt;&gt;"complete","GAP","")</f>
        <v/>
      </c>
      <c r="E37" s="7" t="str">
        <f aca="false">IF(Inventory!O36="absent","GAP","")</f>
        <v/>
      </c>
      <c r="F37" s="7" t="str">
        <f aca="false">IF(Inventory!K36="unassigned","GAP","")</f>
        <v/>
      </c>
      <c r="G37" s="7" t="str">
        <f aca="false">IF(($B$3-Inventory!M36)&gt;$D$3,"STALE","")</f>
        <v/>
      </c>
      <c r="H37" s="7" t="n">
        <f aca="false">COUNTIF(D37:G37,"GAP")+COUNTIF(D37:G37,"STALE")</f>
        <v>0</v>
      </c>
      <c r="I37" s="7" t="str">
        <f aca="false">IF(AND(C37="High",H37&gt;=2),"P1-Critical",IF(OR(C37="High",H37&gt;=2),"P2-High",IF(H37&gt;=1,"P3-Medium","P4-Low")))</f>
        <v>P4-Low</v>
      </c>
    </row>
    <row r="38" customFormat="false" ht="15" hidden="false" customHeight="true" outlineLevel="0" collapsed="false">
      <c r="A38" s="7" t="str">
        <f aca="false">Inventory!A37</f>
        <v>SYS-033</v>
      </c>
      <c r="B38" s="7" t="str">
        <f aca="false">Inventory!B37</f>
        <v>On-Premises OCR Platform Service</v>
      </c>
      <c r="C38" s="7" t="str">
        <f aca="false">Inventory!G37</f>
        <v>Low</v>
      </c>
      <c r="D38" s="7" t="str">
        <f aca="false">IF(Inventory!N37&lt;&gt;"complete","GAP","")</f>
        <v/>
      </c>
      <c r="E38" s="7" t="str">
        <f aca="false">IF(Inventory!O37="absent","GAP","")</f>
        <v/>
      </c>
      <c r="F38" s="7" t="str">
        <f aca="false">IF(Inventory!K37="unassigned","GAP","")</f>
        <v/>
      </c>
      <c r="G38" s="7" t="str">
        <f aca="false">IF(($B$3-Inventory!M37)&gt;$D$3,"STALE","")</f>
        <v/>
      </c>
      <c r="H38" s="7" t="n">
        <f aca="false">COUNTIF(D38:G38,"GAP")+COUNTIF(D38:G38,"STALE")</f>
        <v>0</v>
      </c>
      <c r="I38" s="7" t="str">
        <f aca="false">IF(AND(C38="High",H38&gt;=2),"P1-Critical",IF(OR(C38="High",H38&gt;=2),"P2-High",IF(H38&gt;=1,"P3-Medium","P4-Low")))</f>
        <v>P4-Low</v>
      </c>
    </row>
    <row r="39" customFormat="false" ht="15" hidden="false" customHeight="true" outlineLevel="0" collapsed="false">
      <c r="A39" s="7" t="str">
        <f aca="false">Inventory!A38</f>
        <v>SYS-034</v>
      </c>
      <c r="B39" s="7" t="str">
        <f aca="false">Inventory!B38</f>
        <v>Branch Cash Demand Forecast</v>
      </c>
      <c r="C39" s="7" t="str">
        <f aca="false">Inventory!G38</f>
        <v>Low</v>
      </c>
      <c r="D39" s="7" t="str">
        <f aca="false">IF(Inventory!N38&lt;&gt;"complete","GAP","")</f>
        <v/>
      </c>
      <c r="E39" s="7" t="str">
        <f aca="false">IF(Inventory!O38="absent","GAP","")</f>
        <v/>
      </c>
      <c r="F39" s="7" t="str">
        <f aca="false">IF(Inventory!K38="unassigned","GAP","")</f>
        <v/>
      </c>
      <c r="G39" s="7" t="str">
        <f aca="false">IF(($B$3-Inventory!M38)&gt;$D$3,"STALE","")</f>
        <v/>
      </c>
      <c r="H39" s="7" t="n">
        <f aca="false">COUNTIF(D39:G39,"GAP")+COUNTIF(D39:G39,"STALE")</f>
        <v>0</v>
      </c>
      <c r="I39" s="7" t="str">
        <f aca="false">IF(AND(C39="High",H39&gt;=2),"P1-Critical",IF(OR(C39="High",H39&gt;=2),"P2-High",IF(H39&gt;=1,"P3-Medium","P4-Low")))</f>
        <v>P4-Low</v>
      </c>
    </row>
    <row r="40" customFormat="false" ht="15" hidden="false" customHeight="true" outlineLevel="0" collapsed="false">
      <c r="A40" s="7" t="str">
        <f aca="false">Inventory!A39</f>
        <v>SYS-035</v>
      </c>
      <c r="B40" s="7" t="str">
        <f aca="false">Inventory!B39</f>
        <v>CV Screening Support</v>
      </c>
      <c r="C40" s="7" t="str">
        <f aca="false">Inventory!G39</f>
        <v>High</v>
      </c>
      <c r="D40" s="7" t="str">
        <f aca="false">IF(Inventory!N39&lt;&gt;"complete","GAP","")</f>
        <v>GAP</v>
      </c>
      <c r="E40" s="7" t="str">
        <f aca="false">IF(Inventory!O39="absent","GAP","")</f>
        <v>GAP</v>
      </c>
      <c r="F40" s="7" t="str">
        <f aca="false">IF(Inventory!K39="unassigned","GAP","")</f>
        <v>GAP</v>
      </c>
      <c r="G40" s="7" t="str">
        <f aca="false">IF(($B$3-Inventory!M39)&gt;$D$3,"STALE","")</f>
        <v>STALE</v>
      </c>
      <c r="H40" s="7" t="n">
        <f aca="false">COUNTIF(D40:G40,"GAP")+COUNTIF(D40:G40,"STALE")</f>
        <v>4</v>
      </c>
      <c r="I40" s="7" t="str">
        <f aca="false">IF(AND(C40="High",H40&gt;=2),"P1-Critical",IF(OR(C40="High",H40&gt;=2),"P2-High",IF(H40&gt;=1,"P3-Medium","P4-Low")))</f>
        <v>P1-Critical</v>
      </c>
    </row>
    <row r="41" customFormat="false" ht="15" hidden="false" customHeight="true" outlineLevel="0" collapsed="false">
      <c r="A41" s="7" t="str">
        <f aca="false">Inventory!A40</f>
        <v>SYS-036</v>
      </c>
      <c r="B41" s="7" t="str">
        <f aca="false">Inventory!B40</f>
        <v>Voice Biometrics Authentication</v>
      </c>
      <c r="C41" s="7" t="str">
        <f aca="false">Inventory!G40</f>
        <v>High</v>
      </c>
      <c r="D41" s="7" t="str">
        <f aca="false">IF(Inventory!N40&lt;&gt;"complete","GAP","")</f>
        <v/>
      </c>
      <c r="E41" s="7" t="str">
        <f aca="false">IF(Inventory!O40="absent","GAP","")</f>
        <v/>
      </c>
      <c r="F41" s="7" t="str">
        <f aca="false">IF(Inventory!K40="unassigned","GAP","")</f>
        <v/>
      </c>
      <c r="G41" s="7" t="str">
        <f aca="false">IF(($B$3-Inventory!M40)&gt;$D$3,"STALE","")</f>
        <v/>
      </c>
      <c r="H41" s="7" t="n">
        <f aca="false">COUNTIF(D41:G41,"GAP")+COUNTIF(D41:G41,"STALE")</f>
        <v>0</v>
      </c>
      <c r="I41" s="7" t="str">
        <f aca="false">IF(AND(C41="High",H41&gt;=2),"P1-Critical",IF(OR(C41="High",H41&gt;=2),"P2-High",IF(H41&gt;=1,"P3-Medium","P4-Low")))</f>
        <v>P2-High</v>
      </c>
    </row>
    <row r="42" customFormat="false" ht="15" hidden="false" customHeight="true" outlineLevel="0" collapsed="false">
      <c r="A42" s="7" t="str">
        <f aca="false">Inventory!A41</f>
        <v>SYS-037</v>
      </c>
      <c r="B42" s="7" t="str">
        <f aca="false">Inventory!B41</f>
        <v>Robo-Advisory Portfolio Recommendation</v>
      </c>
      <c r="C42" s="7" t="str">
        <f aca="false">Inventory!G41</f>
        <v>High</v>
      </c>
      <c r="D42" s="7" t="str">
        <f aca="false">IF(Inventory!N41&lt;&gt;"complete","GAP","")</f>
        <v>GAP</v>
      </c>
      <c r="E42" s="7" t="str">
        <f aca="false">IF(Inventory!O41="absent","GAP","")</f>
        <v>GAP</v>
      </c>
      <c r="F42" s="7" t="str">
        <f aca="false">IF(Inventory!K41="unassigned","GAP","")</f>
        <v>GAP</v>
      </c>
      <c r="G42" s="7" t="str">
        <f aca="false">IF(($B$3-Inventory!M41)&gt;$D$3,"STALE","")</f>
        <v>STALE</v>
      </c>
      <c r="H42" s="7" t="n">
        <f aca="false">COUNTIF(D42:G42,"GAP")+COUNTIF(D42:G42,"STALE")</f>
        <v>4</v>
      </c>
      <c r="I42" s="7" t="str">
        <f aca="false">IF(AND(C42="High",H42&gt;=2),"P1-Critical",IF(OR(C42="High",H42&gt;=2),"P2-High",IF(H42&gt;=1,"P3-Medium","P4-Low")))</f>
        <v>P1-Critical</v>
      </c>
    </row>
    <row r="43" customFormat="false" ht="15" hidden="false" customHeight="true" outlineLevel="0" collapsed="false">
      <c r="A43" s="7" t="str">
        <f aca="false">Inventory!A42</f>
        <v>SYS-038</v>
      </c>
      <c r="B43" s="7" t="str">
        <f aca="false">Inventory!B42</f>
        <v>Credit Memo Generative Summarisation</v>
      </c>
      <c r="C43" s="7" t="str">
        <f aca="false">Inventory!G42</f>
        <v>High</v>
      </c>
      <c r="D43" s="7" t="str">
        <f aca="false">IF(Inventory!N42&lt;&gt;"complete","GAP","")</f>
        <v/>
      </c>
      <c r="E43" s="7" t="str">
        <f aca="false">IF(Inventory!O42="absent","GAP","")</f>
        <v/>
      </c>
      <c r="F43" s="7" t="str">
        <f aca="false">IF(Inventory!K42="unassigned","GAP","")</f>
        <v/>
      </c>
      <c r="G43" s="7" t="str">
        <f aca="false">IF(($B$3-Inventory!M42)&gt;$D$3,"STALE","")</f>
        <v/>
      </c>
      <c r="H43" s="7" t="n">
        <f aca="false">COUNTIF(D43:G43,"GAP")+COUNTIF(D43:G43,"STALE")</f>
        <v>0</v>
      </c>
      <c r="I43" s="7" t="str">
        <f aca="false">IF(AND(C43="High",H43&gt;=2),"P1-Critical",IF(OR(C43="High",H43&gt;=2),"P2-High",IF(H43&gt;=1,"P3-Medium","P4-Low")))</f>
        <v>P2-High</v>
      </c>
    </row>
    <row r="44" customFormat="false" ht="15" hidden="false" customHeight="true" outlineLevel="0" collapsed="false">
      <c r="A44" s="7" t="str">
        <f aca="false">Inventory!A43</f>
        <v>SYS-039</v>
      </c>
      <c r="B44" s="7" t="str">
        <f aca="false">Inventory!B43</f>
        <v>Internal Knowledge Assistant</v>
      </c>
      <c r="C44" s="7" t="str">
        <f aca="false">Inventory!G43</f>
        <v>Medium</v>
      </c>
      <c r="D44" s="7" t="str">
        <f aca="false">IF(Inventory!N43&lt;&gt;"complete","GAP","")</f>
        <v/>
      </c>
      <c r="E44" s="7" t="str">
        <f aca="false">IF(Inventory!O43="absent","GAP","")</f>
        <v/>
      </c>
      <c r="F44" s="7" t="str">
        <f aca="false">IF(Inventory!K43="unassigned","GAP","")</f>
        <v/>
      </c>
      <c r="G44" s="7" t="str">
        <f aca="false">IF(($B$3-Inventory!M43)&gt;$D$3,"STALE","")</f>
        <v/>
      </c>
      <c r="H44" s="7" t="n">
        <f aca="false">COUNTIF(D44:G44,"GAP")+COUNTIF(D44:G44,"STALE")</f>
        <v>0</v>
      </c>
      <c r="I44" s="7" t="str">
        <f aca="false">IF(AND(C44="High",H44&gt;=2),"P1-Critical",IF(OR(C44="High",H44&gt;=2),"P2-High",IF(H44&gt;=1,"P3-Medium","P4-Low")))</f>
        <v>P4-Low</v>
      </c>
    </row>
    <row r="45" customFormat="false" ht="15" hidden="false" customHeight="false" outlineLevel="0" collapsed="false">
      <c r="A45" s="7" t="str">
        <f aca="false">Inventory!A44</f>
        <v>SYS-040</v>
      </c>
      <c r="B45" s="7" t="str">
        <f aca="false">Inventory!B44</f>
        <v>Real-Time Transaction Categorisation</v>
      </c>
      <c r="C45" s="7" t="str">
        <f aca="false">Inventory!G44</f>
        <v>Medium</v>
      </c>
      <c r="D45" s="7" t="str">
        <f aca="false">IF(Inventory!N44&lt;&gt;"complete","GAP","")</f>
        <v>GAP</v>
      </c>
      <c r="E45" s="7" t="str">
        <f aca="false">IF(Inventory!O44="absent","GAP","")</f>
        <v/>
      </c>
      <c r="F45" s="7" t="str">
        <f aca="false">IF(Inventory!K44="unassigned","GAP","")</f>
        <v/>
      </c>
      <c r="G45" s="7" t="str">
        <f aca="false">IF(($B$3-Inventory!M44)&gt;$D$3,"STALE","")</f>
        <v/>
      </c>
      <c r="H45" s="7" t="n">
        <f aca="false">COUNTIF(D45:G45,"GAP")+COUNTIF(D45:G45,"STALE")</f>
        <v>1</v>
      </c>
      <c r="I45" s="7" t="str">
        <f aca="false">IF(AND(C45="High",H45&gt;=2),"P1-Critical",IF(OR(C45="High",H45&gt;=2),"P2-High",IF(H45&gt;=1,"P3-Medium","P4-Low")))</f>
        <v>P3-Medium</v>
      </c>
    </row>
    <row r="46" customFormat="false" ht="15" hidden="false" customHeight="true" outlineLevel="0" collapsed="false">
      <c r="A46" s="7" t="str">
        <f aca="false">Inventory!A45</f>
        <v>SYS-041</v>
      </c>
      <c r="B46" s="7" t="str">
        <f aca="false">Inventory!B45</f>
        <v>Customer Lifetime Value Prediction</v>
      </c>
      <c r="C46" s="7" t="str">
        <f aca="false">Inventory!G45</f>
        <v>Medium</v>
      </c>
      <c r="D46" s="7" t="str">
        <f aca="false">IF(Inventory!N45&lt;&gt;"complete","GAP","")</f>
        <v>GAP</v>
      </c>
      <c r="E46" s="7" t="str">
        <f aca="false">IF(Inventory!O45="absent","GAP","")</f>
        <v>GAP</v>
      </c>
      <c r="F46" s="7" t="str">
        <f aca="false">IF(Inventory!K45="unassigned","GAP","")</f>
        <v>GAP</v>
      </c>
      <c r="G46" s="7" t="str">
        <f aca="false">IF(($B$3-Inventory!M45)&gt;$D$3,"STALE","")</f>
        <v>STALE</v>
      </c>
      <c r="H46" s="7" t="n">
        <f aca="false">COUNTIF(D46:G46,"GAP")+COUNTIF(D46:G46,"STALE")</f>
        <v>4</v>
      </c>
      <c r="I46" s="7" t="str">
        <f aca="false">IF(AND(C46="High",H46&gt;=2),"P1-Critical",IF(OR(C46="High",H46&gt;=2),"P2-High",IF(H46&gt;=1,"P3-Medium","P4-Low")))</f>
        <v>P2-High</v>
      </c>
    </row>
    <row r="47" customFormat="false" ht="15" hidden="false" customHeight="true" outlineLevel="0" collapsed="false">
      <c r="A47" s="7" t="str">
        <f aca="false">Inventory!A46</f>
        <v>SYS-042</v>
      </c>
      <c r="B47" s="7" t="str">
        <f aca="false">Inventory!B46</f>
        <v>Insider Risk Behaviour Analytics</v>
      </c>
      <c r="C47" s="7" t="str">
        <f aca="false">Inventory!G46</f>
        <v>High</v>
      </c>
      <c r="D47" s="7" t="str">
        <f aca="false">IF(Inventory!N46&lt;&gt;"complete","GAP","")</f>
        <v/>
      </c>
      <c r="E47" s="7" t="str">
        <f aca="false">IF(Inventory!O46="absent","GAP","")</f>
        <v/>
      </c>
      <c r="F47" s="7" t="str">
        <f aca="false">IF(Inventory!K46="unassigned","GAP","")</f>
        <v/>
      </c>
      <c r="G47" s="7" t="str">
        <f aca="false">IF(($B$3-Inventory!M46)&gt;$D$3,"STALE","")</f>
        <v/>
      </c>
      <c r="H47" s="7" t="n">
        <f aca="false">COUNTIF(D47:G47,"GAP")+COUNTIF(D47:G47,"STALE")</f>
        <v>0</v>
      </c>
      <c r="I47" s="7" t="str">
        <f aca="false">IF(AND(C47="High",H47&gt;=2),"P1-Critical",IF(OR(C47="High",H47&gt;=2),"P2-High",IF(H47&gt;=1,"P3-Medium","P4-Low")))</f>
        <v>P2-High</v>
      </c>
    </row>
    <row r="48" customFormat="false" ht="15" hidden="false" customHeight="true" outlineLevel="0" collapsed="false">
      <c r="A48" s="7" t="str">
        <f aca="false">Inventory!A47</f>
        <v>SYS-043</v>
      </c>
      <c r="B48" s="7" t="str">
        <f aca="false">Inventory!B47</f>
        <v>Model Drift Monitoring Platform</v>
      </c>
      <c r="C48" s="7" t="str">
        <f aca="false">Inventory!G47</f>
        <v>Medium</v>
      </c>
      <c r="D48" s="7" t="str">
        <f aca="false">IF(Inventory!N47&lt;&gt;"complete","GAP","")</f>
        <v/>
      </c>
      <c r="E48" s="7" t="str">
        <f aca="false">IF(Inventory!O47="absent","GAP","")</f>
        <v/>
      </c>
      <c r="F48" s="7" t="str">
        <f aca="false">IF(Inventory!K47="unassigned","GAP","")</f>
        <v/>
      </c>
      <c r="G48" s="7" t="str">
        <f aca="false">IF(($B$3-Inventory!M47)&gt;$D$3,"STALE","")</f>
        <v/>
      </c>
      <c r="H48" s="7" t="n">
        <f aca="false">COUNTIF(D48:G48,"GAP")+COUNTIF(D48:G48,"STALE")</f>
        <v>0</v>
      </c>
      <c r="I48" s="7" t="str">
        <f aca="false">IF(AND(C48="High",H48&gt;=2),"P1-Critical",IF(OR(C48="High",H48&gt;=2),"P2-High",IF(H48&gt;=1,"P3-Medium","P4-Low")))</f>
        <v>P4-Low</v>
      </c>
    </row>
    <row r="49" customFormat="false" ht="15" hidden="false" customHeight="true" outlineLevel="0" collapsed="false">
      <c r="A49" s="7" t="str">
        <f aca="false">Inventory!A48</f>
        <v>SYS-044</v>
      </c>
      <c r="B49" s="7" t="str">
        <f aca="false">Inventory!B48</f>
        <v>Synthetic Data Generation Service</v>
      </c>
      <c r="C49" s="7" t="str">
        <f aca="false">Inventory!G48</f>
        <v>High</v>
      </c>
      <c r="D49" s="7" t="str">
        <f aca="false">IF(Inventory!N48&lt;&gt;"complete","GAP","")</f>
        <v>GAP</v>
      </c>
      <c r="E49" s="7" t="str">
        <f aca="false">IF(Inventory!O48="absent","GAP","")</f>
        <v/>
      </c>
      <c r="F49" s="7" t="str">
        <f aca="false">IF(Inventory!K48="unassigned","GAP","")</f>
        <v>GAP</v>
      </c>
      <c r="G49" s="7" t="str">
        <f aca="false">IF(($B$3-Inventory!M48)&gt;$D$3,"STALE","")</f>
        <v>STALE</v>
      </c>
      <c r="H49" s="7" t="n">
        <f aca="false">COUNTIF(D49:G49,"GAP")+COUNTIF(D49:G49,"STALE")</f>
        <v>3</v>
      </c>
      <c r="I49" s="7" t="str">
        <f aca="false">IF(AND(C49="High",H49&gt;=2),"P1-Critical",IF(OR(C49="High",H49&gt;=2),"P2-High",IF(H49&gt;=1,"P3-Medium","P4-Low")))</f>
        <v>P1-Critical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11" t="s">
        <v>543</v>
      </c>
    </row>
    <row r="52" customFormat="false" ht="15" hidden="false" customHeight="true" outlineLevel="0" collapsed="false">
      <c r="A52" s="7" t="s">
        <v>544</v>
      </c>
      <c r="B52" s="12" t="n">
        <f aca="false">COUNTA(A6:A49)</f>
        <v>44</v>
      </c>
    </row>
    <row r="53" customFormat="false" ht="15" hidden="false" customHeight="true" outlineLevel="0" collapsed="false">
      <c r="A53" s="7" t="s">
        <v>545</v>
      </c>
      <c r="B53" s="12" t="n">
        <f aca="false">COUNTIF(I6:I49,"P1-Critical")</f>
        <v>4</v>
      </c>
    </row>
    <row r="54" customFormat="false" ht="15" hidden="false" customHeight="false" outlineLevel="0" collapsed="false">
      <c r="A54" s="7" t="s">
        <v>546</v>
      </c>
      <c r="B54" s="12" t="n">
        <f aca="false">COUNTIF(H6:H49,"&gt;=1")</f>
        <v>22</v>
      </c>
    </row>
    <row r="55" customFormat="false" ht="15" hidden="false" customHeight="false" outlineLevel="0" collapsed="false">
      <c r="A55" s="7" t="s">
        <v>547</v>
      </c>
      <c r="B55" s="12" t="n">
        <f aca="false">COUNTIF(D6:D49,"GAP")</f>
        <v>21</v>
      </c>
    </row>
    <row r="56" customFormat="false" ht="15" hidden="false" customHeight="false" outlineLevel="0" collapsed="false">
      <c r="A56" s="7" t="s">
        <v>548</v>
      </c>
      <c r="B56" s="12" t="n">
        <f aca="false">COUNTIF(E6:E49,"GAP")</f>
        <v>9</v>
      </c>
    </row>
    <row r="57" customFormat="false" ht="15" hidden="false" customHeight="false" outlineLevel="0" collapsed="false">
      <c r="A57" s="7" t="s">
        <v>549</v>
      </c>
      <c r="B57" s="12" t="n">
        <f aca="false">COUNTIF(F6:F49,"GAP")</f>
        <v>9</v>
      </c>
    </row>
    <row r="58" customFormat="false" ht="15" hidden="false" customHeight="false" outlineLevel="0" collapsed="false">
      <c r="A58" s="7" t="s">
        <v>550</v>
      </c>
      <c r="B58" s="12" t="n">
        <f aca="false">COUNTIF(G6:G49,"STALE")</f>
        <v>15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0"/>
    <col collapsed="false" customWidth="true" hidden="false" outlineLevel="0" max="3" min="3" style="1" width="38"/>
  </cols>
  <sheetData>
    <row r="1" customFormat="false" ht="15.75" hidden="false" customHeight="true" outlineLevel="0" collapsed="false">
      <c r="A1" s="2" t="s">
        <v>551</v>
      </c>
      <c r="B1" s="2"/>
      <c r="C1" s="2"/>
    </row>
    <row r="3" customFormat="false" ht="15" hidden="false" customHeight="true" outlineLevel="0" collapsed="false">
      <c r="A3" s="4" t="s">
        <v>552</v>
      </c>
      <c r="B3" s="4" t="s">
        <v>553</v>
      </c>
      <c r="C3" s="4" t="s">
        <v>554</v>
      </c>
    </row>
    <row r="4" customFormat="false" ht="15" hidden="false" customHeight="true" outlineLevel="0" collapsed="false">
      <c r="A4" s="5" t="s">
        <v>555</v>
      </c>
      <c r="B4" s="5" t="s">
        <v>556</v>
      </c>
      <c r="C4" s="5" t="s">
        <v>557</v>
      </c>
    </row>
    <row r="5" customFormat="false" ht="15" hidden="false" customHeight="true" outlineLevel="0" collapsed="false">
      <c r="A5" s="5" t="s">
        <v>558</v>
      </c>
      <c r="B5" s="5" t="s">
        <v>559</v>
      </c>
      <c r="C5" s="5" t="s">
        <v>560</v>
      </c>
    </row>
    <row r="6" customFormat="false" ht="15" hidden="false" customHeight="true" outlineLevel="0" collapsed="false">
      <c r="A6" s="5" t="s">
        <v>561</v>
      </c>
      <c r="B6" s="5" t="s">
        <v>562</v>
      </c>
      <c r="C6" s="5" t="s">
        <v>563</v>
      </c>
    </row>
    <row r="7" customFormat="false" ht="15" hidden="false" customHeight="true" outlineLevel="0" collapsed="false">
      <c r="A7" s="5" t="s">
        <v>564</v>
      </c>
      <c r="B7" s="5" t="s">
        <v>565</v>
      </c>
      <c r="C7" s="5" t="s">
        <v>563</v>
      </c>
    </row>
    <row r="8" customFormat="false" ht="15" hidden="false" customHeight="true" outlineLevel="0" collapsed="false">
      <c r="A8" s="5" t="s">
        <v>566</v>
      </c>
      <c r="B8" s="5" t="s">
        <v>567</v>
      </c>
      <c r="C8" s="5" t="s">
        <v>568</v>
      </c>
    </row>
    <row r="9" customFormat="false" ht="15" hidden="false" customHeight="true" outlineLevel="0" collapsed="false">
      <c r="A9" s="5" t="s">
        <v>569</v>
      </c>
      <c r="B9" s="5" t="s">
        <v>570</v>
      </c>
      <c r="C9" s="5" t="s">
        <v>571</v>
      </c>
    </row>
    <row r="10" customFormat="false" ht="15" hidden="false" customHeight="true" outlineLevel="0" collapsed="false">
      <c r="A10" s="5" t="s">
        <v>572</v>
      </c>
      <c r="B10" s="5" t="s">
        <v>573</v>
      </c>
      <c r="C10" s="5" t="s">
        <v>574</v>
      </c>
    </row>
    <row r="11" customFormat="false" ht="15" hidden="false" customHeight="true" outlineLevel="0" collapsed="false">
      <c r="A11" s="5" t="s">
        <v>575</v>
      </c>
      <c r="B11" s="5" t="s">
        <v>576</v>
      </c>
      <c r="C11" s="5" t="s">
        <v>577</v>
      </c>
    </row>
    <row r="12" customFormat="false" ht="15" hidden="false" customHeight="true" outlineLevel="0" collapsed="false">
      <c r="A12" s="5" t="s">
        <v>578</v>
      </c>
      <c r="B12" s="5" t="s">
        <v>579</v>
      </c>
      <c r="C12" s="5" t="s">
        <v>580</v>
      </c>
    </row>
    <row r="13" customFormat="false" ht="15" hidden="false" customHeight="true" outlineLevel="0" collapsed="false">
      <c r="A13" s="5" t="s">
        <v>581</v>
      </c>
      <c r="B13" s="5" t="s">
        <v>582</v>
      </c>
      <c r="C13" s="5" t="s">
        <v>583</v>
      </c>
    </row>
    <row r="14" customFormat="false" ht="15" hidden="false" customHeight="true" outlineLevel="0" collapsed="false">
      <c r="A14" s="5" t="s">
        <v>584</v>
      </c>
      <c r="B14" s="5" t="s">
        <v>585</v>
      </c>
      <c r="C14" s="5" t="s">
        <v>586</v>
      </c>
    </row>
    <row r="15" customFormat="false" ht="15" hidden="false" customHeight="true" outlineLevel="0" collapsed="false">
      <c r="A15" s="5" t="s">
        <v>587</v>
      </c>
      <c r="B15" s="5" t="s">
        <v>588</v>
      </c>
      <c r="C15" s="5" t="s">
        <v>563</v>
      </c>
    </row>
    <row r="16" customFormat="false" ht="23.25" hidden="false" customHeight="true" outlineLevel="0" collapsed="false">
      <c r="A16" s="5" t="s">
        <v>589</v>
      </c>
      <c r="B16" s="5" t="s">
        <v>590</v>
      </c>
      <c r="C16" s="5" t="s">
        <v>591</v>
      </c>
    </row>
    <row r="17" customFormat="false" ht="15" hidden="false" customHeight="true" outlineLevel="0" collapsed="false">
      <c r="A17" s="5" t="s">
        <v>592</v>
      </c>
      <c r="B17" s="5" t="s">
        <v>593</v>
      </c>
      <c r="C17" s="5" t="s">
        <v>563</v>
      </c>
    </row>
    <row r="18" customFormat="false" ht="15" hidden="false" customHeight="true" outlineLevel="0" collapsed="false">
      <c r="A18" s="5" t="s">
        <v>594</v>
      </c>
      <c r="B18" s="5" t="s">
        <v>595</v>
      </c>
      <c r="C18" s="5" t="s">
        <v>563</v>
      </c>
    </row>
    <row r="19" customFormat="false" ht="15" hidden="false" customHeight="true" outlineLevel="0" collapsed="false">
      <c r="A19" s="5" t="s">
        <v>596</v>
      </c>
      <c r="B19" s="5" t="s">
        <v>597</v>
      </c>
      <c r="C19" s="5" t="s">
        <v>563</v>
      </c>
    </row>
    <row r="20" customFormat="false" ht="23.25" hidden="false" customHeight="true" outlineLevel="0" collapsed="false">
      <c r="A20" s="5" t="s">
        <v>598</v>
      </c>
      <c r="B20" s="5" t="s">
        <v>599</v>
      </c>
      <c r="C20" s="5" t="s">
        <v>563</v>
      </c>
    </row>
    <row r="21" customFormat="false" ht="15" hidden="false" customHeight="true" outlineLevel="0" collapsed="false">
      <c r="A21" s="5" t="s">
        <v>600</v>
      </c>
      <c r="B21" s="5" t="s">
        <v>601</v>
      </c>
      <c r="C21" s="5" t="s">
        <v>563</v>
      </c>
    </row>
    <row r="22" customFormat="false" ht="15" hidden="false" customHeight="true" outlineLevel="0" collapsed="false">
      <c r="A22" s="5" t="s">
        <v>602</v>
      </c>
      <c r="B22" s="5" t="s">
        <v>603</v>
      </c>
      <c r="C22" s="5" t="s">
        <v>563</v>
      </c>
    </row>
    <row r="23" customFormat="false" ht="23.25" hidden="false" customHeight="true" outlineLevel="0" collapsed="false">
      <c r="A23" s="5" t="s">
        <v>604</v>
      </c>
      <c r="B23" s="5" t="s">
        <v>605</v>
      </c>
      <c r="C23" s="5" t="s">
        <v>606</v>
      </c>
    </row>
    <row r="24" customFormat="false" ht="23.25" hidden="false" customHeight="true" outlineLevel="0" collapsed="false">
      <c r="A24" s="5" t="s">
        <v>607</v>
      </c>
      <c r="B24" s="5" t="s">
        <v>608</v>
      </c>
      <c r="C24" s="5" t="s">
        <v>606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2026-08-29T20:22:40Z</dcterms:created>
  <dc:creator>openpyxl</dc:creator>
  <dc:description/>
  <dc:language>en-US</dc:language>
  <cp:lastModifiedBy/>
  <dcterms:modified xsi:type="dcterms:W3CDTF">2026-08-30T06:43:59Z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