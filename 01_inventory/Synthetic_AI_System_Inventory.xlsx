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Data_Sources" sheetId="2" state="visible" r:id="rId4"/>
    <sheet name="Lineage_Edges" sheetId="3" state="visible" r:id="rId5"/>
    <sheet name="Gap_Summary" sheetId="4" state="visible" r:id="rId6"/>
    <sheet name="Data_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<sst xmlns="http://schemas.openxmlformats.org/spreadsheetml/2006/main" count="746" uniqueCount="318">
  <si>
    <t xml:space="preserve">Synthetic AI System Inventory  —  Meridian Financial Services (fictional)</t>
  </si>
  <si>
    <t xml:space="preserve">Fully fabricated data for academic demonstration. No real institution, system, or individual is represented. Structure mirrors the production workbook so the identical RAG pipeline runs on both.</t>
  </si>
  <si>
    <t xml:space="preserve">SYS_ID</t>
  </si>
  <si>
    <t xml:space="preserve">System_Name</t>
  </si>
  <si>
    <t xml:space="preserve">System_Purpose</t>
  </si>
  <si>
    <t xml:space="preserve">Data_Inputs</t>
  </si>
  <si>
    <t xml:space="preserve">Automated_Decision</t>
  </si>
  <si>
    <t xml:space="preserve">Personal_Data</t>
  </si>
  <si>
    <t xml:space="preserve">Risk_Level</t>
  </si>
  <si>
    <t xml:space="preserve">Business_Owner</t>
  </si>
  <si>
    <t xml:space="preserve">Technical_Owner</t>
  </si>
  <si>
    <t xml:space="preserve">Data_Steward</t>
  </si>
  <si>
    <t xml:space="preserve">Steward_Status</t>
  </si>
  <si>
    <t xml:space="preserve">Deployment_Env</t>
  </si>
  <si>
    <t xml:space="preserve">Last_Audit_Date</t>
  </si>
  <si>
    <t xml:space="preserve">Lineage_Status</t>
  </si>
  <si>
    <t xml:space="preserve">DQ_Regime</t>
  </si>
  <si>
    <t xml:space="preserve">Impact_Assessment</t>
  </si>
  <si>
    <t xml:space="preserve">Human_Oversight</t>
  </si>
  <si>
    <t xml:space="preserve">Verification_Validation</t>
  </si>
  <si>
    <t xml:space="preserve">Technical_Doc</t>
  </si>
  <si>
    <t xml:space="preserve">Event_Logging</t>
  </si>
  <si>
    <t xml:space="preserve">Incident_Plan</t>
  </si>
  <si>
    <t xml:space="preserve">User_Transparency</t>
  </si>
  <si>
    <t xml:space="preserve">Intended_Use_Doc</t>
  </si>
  <si>
    <t xml:space="preserve">SYS-001</t>
  </si>
  <si>
    <t xml:space="preserve">Credit Scoring Engine</t>
  </si>
  <si>
    <t xml:space="preserve">Retail loan approval scoring for personal and SME lending</t>
  </si>
  <si>
    <t xml:space="preserve">DS-CUST-MASTER; DS-CREDIT-BUREAU; DS-TXN-CORE</t>
  </si>
  <si>
    <t xml:space="preserve">Y</t>
  </si>
  <si>
    <t xml:space="preserve">High</t>
  </si>
  <si>
    <t xml:space="preserve">Retail Lending</t>
  </si>
  <si>
    <t xml:space="preserve">MLOps-Credit</t>
  </si>
  <si>
    <t xml:space="preserve">Retail Data Steward</t>
  </si>
  <si>
    <t xml:space="preserve">assigned</t>
  </si>
  <si>
    <t xml:space="preserve">On-Prem</t>
  </si>
  <si>
    <t xml:space="preserve">complete</t>
  </si>
  <si>
    <t xml:space="preserve">present</t>
  </si>
  <si>
    <t xml:space="preserve">SYS-002</t>
  </si>
  <si>
    <t xml:space="preserve">Card Fraud Detection</t>
  </si>
  <si>
    <t xml:space="preserve">Real-time authorisation-time fraud scoring on card transactions</t>
  </si>
  <si>
    <t xml:space="preserve">DS-CARD-AUTH; DS-TXN-CORE; DS-DEVICE-FP</t>
  </si>
  <si>
    <t xml:space="preserve">Cards &amp; Payments</t>
  </si>
  <si>
    <t xml:space="preserve">MLOps-Fraud</t>
  </si>
  <si>
    <t xml:space="preserve">Payments Data Steward</t>
  </si>
  <si>
    <t xml:space="preserve">SYS-003</t>
  </si>
  <si>
    <t xml:space="preserve">AML Transaction Monitoring</t>
  </si>
  <si>
    <t xml:space="preserve">Flags potentially suspicious transactions for human analyst review</t>
  </si>
  <si>
    <t xml:space="preserve">DS-TXN-CORE; DS-CUST-MASTER; DS-SANCTIONS-API</t>
  </si>
  <si>
    <t xml:space="preserve">N</t>
  </si>
  <si>
    <t xml:space="preserve">Compliance / AML</t>
  </si>
  <si>
    <t xml:space="preserve">MLOps-AML</t>
  </si>
  <si>
    <t xml:space="preserve">(AML analyst lead)</t>
  </si>
  <si>
    <t xml:space="preserve">de_facto</t>
  </si>
  <si>
    <t xml:space="preserve">partial</t>
  </si>
  <si>
    <t xml:space="preserve">n/a</t>
  </si>
  <si>
    <t xml:space="preserve">SYS-004</t>
  </si>
  <si>
    <t xml:space="preserve">KYC Document OCR</t>
  </si>
  <si>
    <t xml:space="preserve">Extracts identity fields from onboarding documents</t>
  </si>
  <si>
    <t xml:space="preserve">DS-DOC-SCAN</t>
  </si>
  <si>
    <t xml:space="preserve">Medium</t>
  </si>
  <si>
    <t xml:space="preserve">Onboarding</t>
  </si>
  <si>
    <t xml:space="preserve">MLOps-DocAI</t>
  </si>
  <si>
    <t xml:space="preserve">Onboarding Data Steward</t>
  </si>
  <si>
    <t xml:space="preserve">SYS-005</t>
  </si>
  <si>
    <t xml:space="preserve">Customer Support Chatbot</t>
  </si>
  <si>
    <t xml:space="preserve">Natural-language Q&amp;A over banking FAQ with account context</t>
  </si>
  <si>
    <t xml:space="preserve">DS-FAQ-KB; DS-CUST-MASTER</t>
  </si>
  <si>
    <t xml:space="preserve">Customer Experience</t>
  </si>
  <si>
    <t xml:space="preserve">MLOps-ConvAI</t>
  </si>
  <si>
    <t xml:space="preserve">(CX ops lead)</t>
  </si>
  <si>
    <t xml:space="preserve">absent</t>
  </si>
  <si>
    <t xml:space="preserve">SYS-006</t>
  </si>
  <si>
    <t xml:space="preserve">Churn Prediction</t>
  </si>
  <si>
    <t xml:space="preserve">Predicts customer attrition to drive retention campaigns</t>
  </si>
  <si>
    <t xml:space="preserve">DS-CUST-MASTER; DS-TXN-CORE; DS-INTERACTION-LOG</t>
  </si>
  <si>
    <t xml:space="preserve">Marketing / Retention</t>
  </si>
  <si>
    <t xml:space="preserve">MLOps-Analytics</t>
  </si>
  <si>
    <t xml:space="preserve">(unassigned)</t>
  </si>
  <si>
    <t xml:space="preserve">unassigned</t>
  </si>
  <si>
    <t xml:space="preserve">SYS-007</t>
  </si>
  <si>
    <t xml:space="preserve">Loan Default Early Warning</t>
  </si>
  <si>
    <t xml:space="preserve">Advisory risk scoring on the existing loan book</t>
  </si>
  <si>
    <t xml:space="preserve">DS-TXN-CORE; DS-CREDIT-BUREAU; DS-MACRO-FEED</t>
  </si>
  <si>
    <t xml:space="preserve">Risk Management</t>
  </si>
  <si>
    <t xml:space="preserve">MLOps-Risk</t>
  </si>
  <si>
    <t xml:space="preserve">Risk Data Steward</t>
  </si>
  <si>
    <t xml:space="preserve">SYS-008</t>
  </si>
  <si>
    <t xml:space="preserve">Marketing Campaign Optimizer</t>
  </si>
  <si>
    <t xml:space="preserve">Automated segment targeting and channel selection</t>
  </si>
  <si>
    <t xml:space="preserve">DS-CUST-MASTER; DS-CAMPAIGN-HIST</t>
  </si>
  <si>
    <t xml:space="preserve">Low</t>
  </si>
  <si>
    <t xml:space="preserve">Marketing</t>
  </si>
  <si>
    <t xml:space="preserve">SYS-009</t>
  </si>
  <si>
    <t xml:space="preserve">Branch Cash Demand Forecast</t>
  </si>
  <si>
    <t xml:space="preserve">Forecasts ATM and branch cash replenishment needs</t>
  </si>
  <si>
    <t xml:space="preserve">DS-CASH-LOG; DS-CALENDAR; DS-MACRO-FEED</t>
  </si>
  <si>
    <t xml:space="preserve">Branch Operations</t>
  </si>
  <si>
    <t xml:space="preserve">(ops planning lead)</t>
  </si>
  <si>
    <t xml:space="preserve">SYS-010</t>
  </si>
  <si>
    <t xml:space="preserve">Call Centre Speech Analytics</t>
  </si>
  <si>
    <t xml:space="preserve">Sentiment and compliance-keyword detection on recorded calls</t>
  </si>
  <si>
    <t xml:space="preserve">DS-CALL-REC; DS-CUST-MASTER</t>
  </si>
  <si>
    <t xml:space="preserve">SYS-011</t>
  </si>
  <si>
    <t xml:space="preserve">Collections Prioritisation</t>
  </si>
  <si>
    <t xml:space="preserve">Automatically prioritises overdue accounts for contact</t>
  </si>
  <si>
    <t xml:space="preserve">DS-TXN-CORE; DS-CUST-MASTER; DS-COLLECTION-LOG</t>
  </si>
  <si>
    <t xml:space="preserve">Collections</t>
  </si>
  <si>
    <t xml:space="preserve">(collections lead)</t>
  </si>
  <si>
    <t xml:space="preserve">SYS-012</t>
  </si>
  <si>
    <t xml:space="preserve">HR CV Screening</t>
  </si>
  <si>
    <t xml:space="preserve">Ranks job applicants against role requirements</t>
  </si>
  <si>
    <t xml:space="preserve">DS-HR-APPLICANT</t>
  </si>
  <si>
    <t xml:space="preserve">Human Resources</t>
  </si>
  <si>
    <t xml:space="preserve">Data Sources</t>
  </si>
  <si>
    <t xml:space="preserve">Source_ID</t>
  </si>
  <si>
    <t xml:space="preserve">Source_Name</t>
  </si>
  <si>
    <t xml:space="preserve">Source_Type</t>
  </si>
  <si>
    <t xml:space="preserve">Contains_Personal_Data</t>
  </si>
  <si>
    <t xml:space="preserve">Source_Owner</t>
  </si>
  <si>
    <t xml:space="preserve">Notes</t>
  </si>
  <si>
    <t xml:space="preserve">DS-CUST-MASTER</t>
  </si>
  <si>
    <t xml:space="preserve">Customer Master</t>
  </si>
  <si>
    <t xml:space="preserve">Internal DB</t>
  </si>
  <si>
    <t xml:space="preserve">Data Management</t>
  </si>
  <si>
    <t xml:space="preserve">Golden customer record; KVKK personal data.</t>
  </si>
  <si>
    <t xml:space="preserve">DS-CREDIT-BUREAU</t>
  </si>
  <si>
    <t xml:space="preserve">Credit Bureau Feed</t>
  </si>
  <si>
    <t xml:space="preserve">External API</t>
  </si>
  <si>
    <t xml:space="preserve">Third-party bureau; contractual DQ terms.</t>
  </si>
  <si>
    <t xml:space="preserve">DS-TXN-CORE</t>
  </si>
  <si>
    <t xml:space="preserve">Core Banking Transactions</t>
  </si>
  <si>
    <t xml:space="preserve">Core Banking</t>
  </si>
  <si>
    <t xml:space="preserve">Account and transaction ledger.</t>
  </si>
  <si>
    <t xml:space="preserve">DS-CARD-AUTH</t>
  </si>
  <si>
    <t xml:space="preserve">Card Authorisation Stream</t>
  </si>
  <si>
    <t xml:space="preserve">Streaming</t>
  </si>
  <si>
    <t xml:space="preserve">Real-time auth events.</t>
  </si>
  <si>
    <t xml:space="preserve">DS-DEVICE-FP</t>
  </si>
  <si>
    <t xml:space="preserve">Device Fingerprint Store</t>
  </si>
  <si>
    <t xml:space="preserve">Fraud Ops</t>
  </si>
  <si>
    <t xml:space="preserve">Device/session signals; no formal DQ regime.</t>
  </si>
  <si>
    <t xml:space="preserve">DS-SANCTIONS-API</t>
  </si>
  <si>
    <t xml:space="preserve">Sanctions &amp; Watchlist API</t>
  </si>
  <si>
    <t xml:space="preserve">Externally maintained lists.</t>
  </si>
  <si>
    <t xml:space="preserve">Onboarding Document Store</t>
  </si>
  <si>
    <t xml:space="preserve">Document Store</t>
  </si>
  <si>
    <t xml:space="preserve">Scanned IDs and forms.</t>
  </si>
  <si>
    <t xml:space="preserve">DS-FAQ-KB</t>
  </si>
  <si>
    <t xml:space="preserve">Banking FAQ Knowledge Base</t>
  </si>
  <si>
    <t xml:space="preserve">Curated FAQ content; no DQ SLA.</t>
  </si>
  <si>
    <t xml:space="preserve">DS-INTERACTION-LOG</t>
  </si>
  <si>
    <t xml:space="preserve">Customer Interaction Log</t>
  </si>
  <si>
    <t xml:space="preserve">Contact history; ad-hoc quality.</t>
  </si>
  <si>
    <t xml:space="preserve">DS-MACRO-FEED</t>
  </si>
  <si>
    <t xml:space="preserve">Macroeconomic Indicators</t>
  </si>
  <si>
    <t xml:space="preserve">Rates, indices.</t>
  </si>
  <si>
    <t xml:space="preserve">DS-CAMPAIGN-HIST</t>
  </si>
  <si>
    <t xml:space="preserve">Campaign History</t>
  </si>
  <si>
    <t xml:space="preserve">Past campaign responses.</t>
  </si>
  <si>
    <t xml:space="preserve">DS-CASH-LOG</t>
  </si>
  <si>
    <t xml:space="preserve">ATM / Branch Cash Log</t>
  </si>
  <si>
    <t xml:space="preserve">Cash movement records.</t>
  </si>
  <si>
    <t xml:space="preserve">DS-CALENDAR</t>
  </si>
  <si>
    <t xml:space="preserve">Business Calendar</t>
  </si>
  <si>
    <t xml:space="preserve">File Feed</t>
  </si>
  <si>
    <t xml:space="preserve">Holidays, paydays.</t>
  </si>
  <si>
    <t xml:space="preserve">DS-CALL-REC</t>
  </si>
  <si>
    <t xml:space="preserve">Call Recordings</t>
  </si>
  <si>
    <t xml:space="preserve">Voice recordings; no structured DQ.</t>
  </si>
  <si>
    <t xml:space="preserve">DS-COLLECTION-LOG</t>
  </si>
  <si>
    <t xml:space="preserve">Collections Activity Log</t>
  </si>
  <si>
    <t xml:space="preserve">Contact and promise-to-pay records.</t>
  </si>
  <si>
    <t xml:space="preserve">HR Applicant Database</t>
  </si>
  <si>
    <t xml:space="preserve">CVs and applications; no DQ regime.</t>
  </si>
  <si>
    <t xml:space="preserve">Structural Lineage Edge List  (source → system → consumer)</t>
  </si>
  <si>
    <t xml:space="preserve">Source→system edges derived from Data_Inputs. SYS-010 and SYS-012 have no documented consumer edge — reflected as Lineage_Status = absent.</t>
  </si>
  <si>
    <t xml:space="preserve">Edge_ID</t>
  </si>
  <si>
    <t xml:space="preserve">From_Node</t>
  </si>
  <si>
    <t xml:space="preserve">To_Node</t>
  </si>
  <si>
    <t xml:space="preserve">Edge_Type</t>
  </si>
  <si>
    <t xml:space="preserve">From_Type</t>
  </si>
  <si>
    <t xml:space="preserve">To_Type</t>
  </si>
  <si>
    <t xml:space="preserve">E001</t>
  </si>
  <si>
    <t xml:space="preserve">feeds</t>
  </si>
  <si>
    <t xml:space="preserve">data_source</t>
  </si>
  <si>
    <t xml:space="preserve">ai_system</t>
  </si>
  <si>
    <t xml:space="preserve">E002</t>
  </si>
  <si>
    <t xml:space="preserve">E003</t>
  </si>
  <si>
    <t xml:space="preserve">E004</t>
  </si>
  <si>
    <t xml:space="preserve">E005</t>
  </si>
  <si>
    <t xml:space="preserve">E006</t>
  </si>
  <si>
    <t xml:space="preserve">E007</t>
  </si>
  <si>
    <t xml:space="preserve">E008</t>
  </si>
  <si>
    <t xml:space="preserve">E009</t>
  </si>
  <si>
    <t xml:space="preserve">E010</t>
  </si>
  <si>
    <t xml:space="preserve">E011</t>
  </si>
  <si>
    <t xml:space="preserve">E012</t>
  </si>
  <si>
    <t xml:space="preserve">E013</t>
  </si>
  <si>
    <t xml:space="preserve">E014</t>
  </si>
  <si>
    <t xml:space="preserve">E015</t>
  </si>
  <si>
    <t xml:space="preserve">E016</t>
  </si>
  <si>
    <t xml:space="preserve">E017</t>
  </si>
  <si>
    <t xml:space="preserve">E018</t>
  </si>
  <si>
    <t xml:space="preserve">E019</t>
  </si>
  <si>
    <t xml:space="preserve">E020</t>
  </si>
  <si>
    <t xml:space="preserve">E021</t>
  </si>
  <si>
    <t xml:space="preserve">E022</t>
  </si>
  <si>
    <t xml:space="preserve">E023</t>
  </si>
  <si>
    <t xml:space="preserve">E024</t>
  </si>
  <si>
    <t xml:space="preserve">E025</t>
  </si>
  <si>
    <t xml:space="preserve">E026</t>
  </si>
  <si>
    <t xml:space="preserve">E027</t>
  </si>
  <si>
    <t xml:space="preserve">E028</t>
  </si>
  <si>
    <t xml:space="preserve">E029</t>
  </si>
  <si>
    <t xml:space="preserve">E030</t>
  </si>
  <si>
    <t xml:space="preserve">CONS-LOAN-ORIG</t>
  </si>
  <si>
    <t xml:space="preserve">consumed_by</t>
  </si>
  <si>
    <t xml:space="preserve">consumer</t>
  </si>
  <si>
    <t xml:space="preserve">E031</t>
  </si>
  <si>
    <t xml:space="preserve">CONS-FRAUD-CASE</t>
  </si>
  <si>
    <t xml:space="preserve">E032</t>
  </si>
  <si>
    <t xml:space="preserve">CONS-AML-CASE</t>
  </si>
  <si>
    <t xml:space="preserve">E033</t>
  </si>
  <si>
    <t xml:space="preserve">CONS-ONBOARDING-WF</t>
  </si>
  <si>
    <t xml:space="preserve">E034</t>
  </si>
  <si>
    <t xml:space="preserve">CONS-CRM</t>
  </si>
  <si>
    <t xml:space="preserve">E035</t>
  </si>
  <si>
    <t xml:space="preserve">CONS-CAMPAIGN-MGR</t>
  </si>
  <si>
    <t xml:space="preserve">E036</t>
  </si>
  <si>
    <t xml:space="preserve">CONS-RISK-DASHBOARD</t>
  </si>
  <si>
    <t xml:space="preserve">E037</t>
  </si>
  <si>
    <t xml:space="preserve">E038</t>
  </si>
  <si>
    <t xml:space="preserve">CONS-CASH-PLANNER</t>
  </si>
  <si>
    <t xml:space="preserve">E039</t>
  </si>
  <si>
    <t xml:space="preserve">CONS-COLLECTIONS-WF</t>
  </si>
  <si>
    <t xml:space="preserve">Compliance Gap Summary  (live — recomputes from Inventory)</t>
  </si>
  <si>
    <t xml:space="preserve">Reference date drives the stale-audit test. Gap logic: lineage≠complete, DQ=absent, steward=unassigned, or audit older than the staleness window.</t>
  </si>
  <si>
    <t xml:space="preserve">Reference date:</t>
  </si>
  <si>
    <t xml:space="preserve">Stale window (days):</t>
  </si>
  <si>
    <t xml:space="preserve">Lineage_Gap</t>
  </si>
  <si>
    <t xml:space="preserve">DQ_Gap</t>
  </si>
  <si>
    <t xml:space="preserve">Steward_Gap</t>
  </si>
  <si>
    <t xml:space="preserve">Stale_Audit</t>
  </si>
  <si>
    <t xml:space="preserve">Total_Gaps</t>
  </si>
  <si>
    <t xml:space="preserve">Priority</t>
  </si>
  <si>
    <t xml:space="preserve">Portfolio summary</t>
  </si>
  <si>
    <t xml:space="preserve">Systems in inventory</t>
  </si>
  <si>
    <t xml:space="preserve">P1-Critical</t>
  </si>
  <si>
    <t xml:space="preserve">P2-High</t>
  </si>
  <si>
    <t xml:space="preserve">Systems with &gt;=1 gap</t>
  </si>
  <si>
    <t xml:space="preserve">Lineage gaps</t>
  </si>
  <si>
    <t xml:space="preserve">DQ gaps</t>
  </si>
  <si>
    <t xml:space="preserve">Stewardship gaps</t>
  </si>
  <si>
    <t xml:space="preserve">Stale audits</t>
  </si>
  <si>
    <t xml:space="preserve">Data Dictionary &amp; Tag Vocabulary</t>
  </si>
  <si>
    <t xml:space="preserve">Sheet / Field</t>
  </si>
  <si>
    <t xml:space="preserve">Meaning</t>
  </si>
  <si>
    <t xml:space="preserve">Allowed values</t>
  </si>
  <si>
    <t xml:space="preserve">Inventory.SYS_ID</t>
  </si>
  <si>
    <t xml:space="preserve">Unique system identifier; key for RAG corpus indexing (Layer 5).</t>
  </si>
  <si>
    <t xml:space="preserve">SYS-NNN</t>
  </si>
  <si>
    <t xml:space="preserve">Inventory.Data_Inputs</t>
  </si>
  <si>
    <t xml:space="preserve">Named source IDs feeding the system; basis of structural lineage.</t>
  </si>
  <si>
    <t xml:space="preserve">Semicolon list of DS-* IDs</t>
  </si>
  <si>
    <t xml:space="preserve">Inventory.Automated_Decision</t>
  </si>
  <si>
    <t xml:space="preserve">Whether the system makes or substantially drives automated decisions. Control trigger.</t>
  </si>
  <si>
    <t xml:space="preserve">Y / N</t>
  </si>
  <si>
    <t xml:space="preserve">Inventory.Personal_Data</t>
  </si>
  <si>
    <t xml:space="preserve">Whether personal data (KVKK/GDPR) is processed. Control trigger.</t>
  </si>
  <si>
    <t xml:space="preserve">Inventory.Risk_Level</t>
  </si>
  <si>
    <t xml:space="preserve">Assessed risk level; drives monitoring depth. Control trigger.</t>
  </si>
  <si>
    <t xml:space="preserve">Low / Medium / High</t>
  </si>
  <si>
    <t xml:space="preserve">Inventory.Steward_Status</t>
  </si>
  <si>
    <t xml:space="preserve">DAMA Data Governance tag: is a data steward formally assigned?</t>
  </si>
  <si>
    <t xml:space="preserve">assigned / de_facto / unassigned</t>
  </si>
  <si>
    <t xml:space="preserve">Inventory.Lineage_Status</t>
  </si>
  <si>
    <t xml:space="preserve">DAMA Metadata Management tag: completeness of documented lineage.</t>
  </si>
  <si>
    <t xml:space="preserve">complete / partial / absent</t>
  </si>
  <si>
    <t xml:space="preserve">Inventory.DQ_Regime</t>
  </si>
  <si>
    <t xml:space="preserve">DAMA Data Quality tag: presence of a data-quality regime for the system's inputs.</t>
  </si>
  <si>
    <t xml:space="preserve">present / absent</t>
  </si>
  <si>
    <t xml:space="preserve">Inventory.Last_Audit_Date</t>
  </si>
  <si>
    <t xml:space="preserve">Date of most recent review; feeds the stale-audit test.</t>
  </si>
  <si>
    <t xml:space="preserve">ISO 8601 date</t>
  </si>
  <si>
    <t xml:space="preserve">Data_Sources.DQ_Regime</t>
  </si>
  <si>
    <t xml:space="preserve">Whether the source has a documented data-quality regime.</t>
  </si>
  <si>
    <t xml:space="preserve">Lineage_Edges.Edge_Type</t>
  </si>
  <si>
    <t xml:space="preserve">Direction of the lineage relationship.</t>
  </si>
  <si>
    <t xml:space="preserve">feeds / consumed_by</t>
  </si>
  <si>
    <t xml:space="preserve">Gap_Summary.*_Gap</t>
  </si>
  <si>
    <t xml:space="preserve">Presence/absence findings. 'GAP'/'STALE' means the control evidence is missing.</t>
  </si>
  <si>
    <t xml:space="preserve">GAP / STALE / (blank)</t>
  </si>
  <si>
    <t xml:space="preserve">Gap_Summary.Priority</t>
  </si>
  <si>
    <t xml:space="preserve">Derived triage from risk level and gap count.</t>
  </si>
  <si>
    <t xml:space="preserve">P1-Critical … P4-Low</t>
  </si>
  <si>
    <t xml:space="preserve">Tag note</t>
  </si>
  <si>
    <t xml:space="preserve">Per the project's presence/absence reframing, an absent lineage, DQ, or steward record is itself a valid compliance finding, not a blocker.</t>
  </si>
  <si>
    <t xml:space="preserve">—</t>
  </si>
  <si>
    <t xml:space="preserve">Inventory.Impact_Assessment</t>
  </si>
  <si>
    <t xml:space="preserve">Per-system attestation: has an AI system impact assessment been done? (A.5.2/5.3/5.4)</t>
  </si>
  <si>
    <t xml:space="preserve">Y / N / n/a</t>
  </si>
  <si>
    <t xml:space="preserve">Inventory.Human_Oversight</t>
  </si>
  <si>
    <t xml:space="preserve">Per-system: is human oversight defined for this system? (A.9.3)</t>
  </si>
  <si>
    <t xml:space="preserve">Inventory.Verification_Validation</t>
  </si>
  <si>
    <t xml:space="preserve">Per-system: has the system been verified &amp; validated? (A.6.2.4)</t>
  </si>
  <si>
    <t xml:space="preserve">Inventory.Technical_Doc</t>
  </si>
  <si>
    <t xml:space="preserve">Per-system: is technical documentation maintained? (A.6.2.7)</t>
  </si>
  <si>
    <t xml:space="preserve">Inventory.Event_Logging</t>
  </si>
  <si>
    <t xml:space="preserve">Per-system: is event logging enabled? (A.6.2.8)</t>
  </si>
  <si>
    <t xml:space="preserve">Inventory.Incident_Plan</t>
  </si>
  <si>
    <t xml:space="preserve">Per-system: is an incident-communication plan in place? (A.8.4)</t>
  </si>
  <si>
    <t xml:space="preserve">Inventory.User_Transparency</t>
  </si>
  <si>
    <t xml:space="preserve">Per-system: is user-facing information provided? (A.8.2)</t>
  </si>
  <si>
    <t xml:space="preserve">Inventory.Intended_Use_Doc</t>
  </si>
  <si>
    <t xml:space="preserve">Per-system: is intended use documented? (A.9.4)</t>
  </si>
  <si>
    <t xml:space="preserve">Model note</t>
  </si>
  <si>
    <t xml:space="preserve">Per-system controls are judged from these attestations; org-level policy coverage is tracked separately (governance readiness), not per system.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</si>
</sst>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3"/>
    <col collapsed="false" customWidth="true" hidden="false" outlineLevel="0" max="14" min="14" style="1" width="12"/>
    <col collapsed="false" customWidth="true" hidden="false" outlineLevel="0" max="15" min="15" style="1" width="11"/>
    <col collapsed="false" customWidth="true" hidden="false" outlineLevel="0" max="23" min="16" style="0" width="1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customFormat="false" ht="23.25" hidden="false" customHeight="true" outlineLevel="0" collapsed="false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6" t="n">
        <v>46157</v>
      </c>
      <c r="N5" s="5" t="s">
        <v>36</v>
      </c>
      <c r="O5" s="5" t="s">
        <v>37</v>
      </c>
      <c r="P5" s="7" t="s">
        <v>29</v>
      </c>
      <c r="Q5" s="7" t="s">
        <v>29</v>
      </c>
      <c r="R5" s="7" t="s">
        <v>29</v>
      </c>
      <c r="S5" s="7" t="s">
        <v>29</v>
      </c>
      <c r="T5" s="7" t="s">
        <v>29</v>
      </c>
      <c r="U5" s="7" t="s">
        <v>29</v>
      </c>
      <c r="V5" s="7" t="s">
        <v>29</v>
      </c>
      <c r="W5" s="7" t="s">
        <v>29</v>
      </c>
    </row>
    <row r="6" customFormat="false" ht="23.25" hidden="false" customHeight="true" outlineLevel="0" collapsed="false">
      <c r="A6" s="5" t="s">
        <v>38</v>
      </c>
      <c r="B6" s="5" t="s">
        <v>39</v>
      </c>
      <c r="C6" s="5" t="s">
        <v>40</v>
      </c>
      <c r="D6" s="5" t="s">
        <v>41</v>
      </c>
      <c r="E6" s="5" t="s">
        <v>29</v>
      </c>
      <c r="F6" s="5" t="s">
        <v>29</v>
      </c>
      <c r="G6" s="5" t="s">
        <v>30</v>
      </c>
      <c r="H6" s="5" t="s">
        <v>42</v>
      </c>
      <c r="I6" s="5" t="s">
        <v>43</v>
      </c>
      <c r="J6" s="5" t="s">
        <v>44</v>
      </c>
      <c r="K6" s="5" t="s">
        <v>34</v>
      </c>
      <c r="L6" s="5" t="s">
        <v>35</v>
      </c>
      <c r="M6" s="6" t="n">
        <v>46114</v>
      </c>
      <c r="N6" s="5" t="s">
        <v>36</v>
      </c>
      <c r="O6" s="5" t="s">
        <v>37</v>
      </c>
      <c r="P6" s="7" t="s">
        <v>29</v>
      </c>
      <c r="Q6" s="7" t="s">
        <v>29</v>
      </c>
      <c r="R6" s="7" t="s">
        <v>29</v>
      </c>
      <c r="S6" s="7" t="s">
        <v>29</v>
      </c>
      <c r="T6" s="7" t="s">
        <v>29</v>
      </c>
      <c r="U6" s="7" t="s">
        <v>29</v>
      </c>
      <c r="V6" s="7" t="s">
        <v>29</v>
      </c>
      <c r="W6" s="7" t="s">
        <v>29</v>
      </c>
    </row>
    <row r="7" customFormat="false" ht="23.25" hidden="false" customHeight="true" outlineLevel="0" collapsed="false">
      <c r="A7" s="5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29</v>
      </c>
      <c r="G7" s="5" t="s">
        <v>30</v>
      </c>
      <c r="H7" s="5" t="s">
        <v>50</v>
      </c>
      <c r="I7" s="5" t="s">
        <v>51</v>
      </c>
      <c r="J7" s="5" t="s">
        <v>52</v>
      </c>
      <c r="K7" s="5" t="s">
        <v>53</v>
      </c>
      <c r="L7" s="5" t="s">
        <v>35</v>
      </c>
      <c r="M7" s="6" t="n">
        <v>45981</v>
      </c>
      <c r="N7" s="5" t="s">
        <v>54</v>
      </c>
      <c r="O7" s="5" t="s">
        <v>37</v>
      </c>
      <c r="P7" s="7" t="s">
        <v>29</v>
      </c>
      <c r="Q7" s="7" t="s">
        <v>55</v>
      </c>
      <c r="R7" s="7" t="s">
        <v>29</v>
      </c>
      <c r="S7" s="7" t="s">
        <v>29</v>
      </c>
      <c r="T7" s="7" t="s">
        <v>55</v>
      </c>
      <c r="U7" s="7" t="s">
        <v>29</v>
      </c>
      <c r="V7" s="7" t="s">
        <v>49</v>
      </c>
      <c r="W7" s="7" t="s">
        <v>29</v>
      </c>
    </row>
    <row r="8" customFormat="false" ht="23.25" hidden="false" customHeight="true" outlineLevel="0" collapsed="false">
      <c r="A8" s="5" t="s">
        <v>56</v>
      </c>
      <c r="B8" s="5" t="s">
        <v>57</v>
      </c>
      <c r="C8" s="5" t="s">
        <v>58</v>
      </c>
      <c r="D8" s="5" t="s">
        <v>59</v>
      </c>
      <c r="E8" s="5" t="s">
        <v>49</v>
      </c>
      <c r="F8" s="5" t="s">
        <v>29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34</v>
      </c>
      <c r="L8" s="5" t="s">
        <v>35</v>
      </c>
      <c r="M8" s="6" t="n">
        <v>46091</v>
      </c>
      <c r="N8" s="5" t="s">
        <v>36</v>
      </c>
      <c r="O8" s="5" t="s">
        <v>37</v>
      </c>
      <c r="P8" s="7" t="s">
        <v>29</v>
      </c>
      <c r="Q8" s="7" t="s">
        <v>55</v>
      </c>
      <c r="R8" s="7" t="s">
        <v>29</v>
      </c>
      <c r="S8" s="7" t="s">
        <v>29</v>
      </c>
      <c r="T8" s="7" t="s">
        <v>55</v>
      </c>
      <c r="U8" s="7" t="s">
        <v>29</v>
      </c>
      <c r="V8" s="7" t="s">
        <v>29</v>
      </c>
      <c r="W8" s="7" t="s">
        <v>29</v>
      </c>
    </row>
    <row r="9" customFormat="false" ht="23.25" hidden="false" customHeight="true" outlineLevel="0" collapsed="false">
      <c r="A9" s="5" t="s">
        <v>64</v>
      </c>
      <c r="B9" s="5" t="s">
        <v>65</v>
      </c>
      <c r="C9" s="5" t="s">
        <v>66</v>
      </c>
      <c r="D9" s="5" t="s">
        <v>67</v>
      </c>
      <c r="E9" s="5" t="s">
        <v>49</v>
      </c>
      <c r="F9" s="5" t="s">
        <v>29</v>
      </c>
      <c r="G9" s="5" t="s">
        <v>60</v>
      </c>
      <c r="H9" s="5" t="s">
        <v>68</v>
      </c>
      <c r="I9" s="5" t="s">
        <v>69</v>
      </c>
      <c r="J9" s="5" t="s">
        <v>70</v>
      </c>
      <c r="K9" s="5" t="s">
        <v>53</v>
      </c>
      <c r="L9" s="5" t="s">
        <v>35</v>
      </c>
      <c r="M9" s="6" t="n">
        <v>46030</v>
      </c>
      <c r="N9" s="5" t="s">
        <v>54</v>
      </c>
      <c r="O9" s="5" t="s">
        <v>71</v>
      </c>
      <c r="P9" s="7" t="s">
        <v>49</v>
      </c>
      <c r="Q9" s="7" t="s">
        <v>55</v>
      </c>
      <c r="R9" s="7" t="s">
        <v>29</v>
      </c>
      <c r="S9" s="7" t="s">
        <v>49</v>
      </c>
      <c r="T9" s="7" t="s">
        <v>55</v>
      </c>
      <c r="U9" s="7" t="s">
        <v>49</v>
      </c>
      <c r="V9" s="7" t="s">
        <v>49</v>
      </c>
      <c r="W9" s="7" t="s">
        <v>29</v>
      </c>
    </row>
    <row r="10" customFormat="false" ht="23.25" hidden="false" customHeight="true" outlineLevel="0" collapsed="false">
      <c r="A10" s="5" t="s">
        <v>72</v>
      </c>
      <c r="B10" s="5" t="s">
        <v>73</v>
      </c>
      <c r="C10" s="5" t="s">
        <v>74</v>
      </c>
      <c r="D10" s="5" t="s">
        <v>75</v>
      </c>
      <c r="E10" s="5" t="s">
        <v>49</v>
      </c>
      <c r="F10" s="5" t="s">
        <v>29</v>
      </c>
      <c r="G10" s="5" t="s">
        <v>60</v>
      </c>
      <c r="H10" s="5" t="s">
        <v>76</v>
      </c>
      <c r="I10" s="5" t="s">
        <v>77</v>
      </c>
      <c r="J10" s="5" t="s">
        <v>78</v>
      </c>
      <c r="K10" s="5" t="s">
        <v>79</v>
      </c>
      <c r="L10" s="5" t="s">
        <v>35</v>
      </c>
      <c r="M10" s="6" t="n">
        <v>45930</v>
      </c>
      <c r="N10" s="5" t="s">
        <v>54</v>
      </c>
      <c r="O10" s="5" t="s">
        <v>71</v>
      </c>
      <c r="P10" s="7" t="s">
        <v>49</v>
      </c>
      <c r="Q10" s="7" t="s">
        <v>55</v>
      </c>
      <c r="R10" s="7" t="s">
        <v>49</v>
      </c>
      <c r="S10" s="7" t="s">
        <v>49</v>
      </c>
      <c r="T10" s="7" t="s">
        <v>55</v>
      </c>
      <c r="U10" s="7" t="s">
        <v>49</v>
      </c>
      <c r="V10" s="7" t="s">
        <v>49</v>
      </c>
      <c r="W10" s="7" t="s">
        <v>49</v>
      </c>
    </row>
    <row r="11" customFormat="false" ht="23.25" hidden="false" customHeight="true" outlineLevel="0" collapsed="false">
      <c r="A11" s="5" t="s">
        <v>80</v>
      </c>
      <c r="B11" s="5" t="s">
        <v>81</v>
      </c>
      <c r="C11" s="5" t="s">
        <v>82</v>
      </c>
      <c r="D11" s="5" t="s">
        <v>83</v>
      </c>
      <c r="E11" s="5" t="s">
        <v>49</v>
      </c>
      <c r="F11" s="5" t="s">
        <v>29</v>
      </c>
      <c r="G11" s="5" t="s">
        <v>30</v>
      </c>
      <c r="H11" s="5" t="s">
        <v>84</v>
      </c>
      <c r="I11" s="5" t="s">
        <v>85</v>
      </c>
      <c r="J11" s="5" t="s">
        <v>86</v>
      </c>
      <c r="K11" s="5" t="s">
        <v>34</v>
      </c>
      <c r="L11" s="5" t="s">
        <v>35</v>
      </c>
      <c r="M11" s="6" t="n">
        <v>46137</v>
      </c>
      <c r="N11" s="5" t="s">
        <v>36</v>
      </c>
      <c r="O11" s="5" t="s">
        <v>37</v>
      </c>
      <c r="P11" s="7" t="s">
        <v>29</v>
      </c>
      <c r="Q11" s="7" t="s">
        <v>55</v>
      </c>
      <c r="R11" s="7" t="s">
        <v>29</v>
      </c>
      <c r="S11" s="7" t="s">
        <v>29</v>
      </c>
      <c r="T11" s="7" t="s">
        <v>55</v>
      </c>
      <c r="U11" s="7" t="s">
        <v>29</v>
      </c>
      <c r="V11" s="7" t="s">
        <v>29</v>
      </c>
      <c r="W11" s="7" t="s">
        <v>29</v>
      </c>
    </row>
    <row r="12" customFormat="false" ht="23.25" hidden="false" customHeight="true" outlineLevel="0" collapsed="false">
      <c r="A12" s="5" t="s">
        <v>87</v>
      </c>
      <c r="B12" s="5" t="s">
        <v>88</v>
      </c>
      <c r="C12" s="5" t="s">
        <v>89</v>
      </c>
      <c r="D12" s="5" t="s">
        <v>90</v>
      </c>
      <c r="E12" s="5" t="s">
        <v>29</v>
      </c>
      <c r="F12" s="5" t="s">
        <v>29</v>
      </c>
      <c r="G12" s="5" t="s">
        <v>91</v>
      </c>
      <c r="H12" s="5" t="s">
        <v>92</v>
      </c>
      <c r="I12" s="5" t="s">
        <v>77</v>
      </c>
      <c r="J12" s="5" t="s">
        <v>78</v>
      </c>
      <c r="K12" s="5" t="s">
        <v>79</v>
      </c>
      <c r="L12" s="5" t="s">
        <v>35</v>
      </c>
      <c r="M12" s="6" t="n">
        <v>46071</v>
      </c>
      <c r="N12" s="5" t="s">
        <v>54</v>
      </c>
      <c r="O12" s="5" t="s">
        <v>71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</row>
    <row r="13" customFormat="false" ht="23.25" hidden="false" customHeight="true" outlineLevel="0" collapsed="false">
      <c r="A13" s="5" t="s">
        <v>93</v>
      </c>
      <c r="B13" s="5" t="s">
        <v>94</v>
      </c>
      <c r="C13" s="5" t="s">
        <v>95</v>
      </c>
      <c r="D13" s="5" t="s">
        <v>96</v>
      </c>
      <c r="E13" s="5" t="s">
        <v>49</v>
      </c>
      <c r="F13" s="5" t="s">
        <v>49</v>
      </c>
      <c r="G13" s="5" t="s">
        <v>91</v>
      </c>
      <c r="H13" s="5" t="s">
        <v>97</v>
      </c>
      <c r="I13" s="5" t="s">
        <v>77</v>
      </c>
      <c r="J13" s="5" t="s">
        <v>98</v>
      </c>
      <c r="K13" s="5" t="s">
        <v>53</v>
      </c>
      <c r="L13" s="5" t="s">
        <v>35</v>
      </c>
      <c r="M13" s="6" t="n">
        <v>46103</v>
      </c>
      <c r="N13" s="5" t="s">
        <v>36</v>
      </c>
      <c r="O13" s="5" t="s">
        <v>37</v>
      </c>
      <c r="P13" s="7" t="s">
        <v>55</v>
      </c>
      <c r="Q13" s="7" t="s">
        <v>55</v>
      </c>
      <c r="R13" s="7" t="s">
        <v>29</v>
      </c>
      <c r="S13" s="7" t="s">
        <v>29</v>
      </c>
      <c r="T13" s="7" t="s">
        <v>55</v>
      </c>
      <c r="U13" s="7" t="s">
        <v>29</v>
      </c>
      <c r="V13" s="7" t="s">
        <v>55</v>
      </c>
      <c r="W13" s="7" t="s">
        <v>29</v>
      </c>
    </row>
    <row r="14" customFormat="false" ht="23.25" hidden="false" customHeight="true" outlineLevel="0" collapsed="false">
      <c r="A14" s="5" t="s">
        <v>99</v>
      </c>
      <c r="B14" s="5" t="s">
        <v>100</v>
      </c>
      <c r="C14" s="5" t="s">
        <v>101</v>
      </c>
      <c r="D14" s="5" t="s">
        <v>102</v>
      </c>
      <c r="E14" s="5" t="s">
        <v>49</v>
      </c>
      <c r="F14" s="5" t="s">
        <v>29</v>
      </c>
      <c r="G14" s="5" t="s">
        <v>60</v>
      </c>
      <c r="H14" s="5" t="s">
        <v>68</v>
      </c>
      <c r="I14" s="5" t="s">
        <v>69</v>
      </c>
      <c r="J14" s="5" t="s">
        <v>78</v>
      </c>
      <c r="K14" s="5" t="s">
        <v>79</v>
      </c>
      <c r="L14" s="5" t="s">
        <v>35</v>
      </c>
      <c r="M14" s="6" t="n">
        <v>45996</v>
      </c>
      <c r="N14" s="5" t="s">
        <v>71</v>
      </c>
      <c r="O14" s="5" t="s">
        <v>71</v>
      </c>
      <c r="P14" s="7" t="s">
        <v>49</v>
      </c>
      <c r="Q14" s="7" t="s">
        <v>55</v>
      </c>
      <c r="R14" s="7" t="s">
        <v>49</v>
      </c>
      <c r="S14" s="7" t="s">
        <v>49</v>
      </c>
      <c r="T14" s="7" t="s">
        <v>55</v>
      </c>
      <c r="U14" s="7" t="s">
        <v>49</v>
      </c>
      <c r="V14" s="7" t="s">
        <v>49</v>
      </c>
      <c r="W14" s="7" t="s">
        <v>49</v>
      </c>
    </row>
    <row r="15" customFormat="false" ht="23.25" hidden="false" customHeight="true" outlineLevel="0" collapsed="false">
      <c r="A15" s="5" t="s">
        <v>103</v>
      </c>
      <c r="B15" s="5" t="s">
        <v>104</v>
      </c>
      <c r="C15" s="5" t="s">
        <v>105</v>
      </c>
      <c r="D15" s="5" t="s">
        <v>106</v>
      </c>
      <c r="E15" s="5" t="s">
        <v>29</v>
      </c>
      <c r="F15" s="5" t="s">
        <v>29</v>
      </c>
      <c r="G15" s="5" t="s">
        <v>30</v>
      </c>
      <c r="H15" s="5" t="s">
        <v>107</v>
      </c>
      <c r="I15" s="5" t="s">
        <v>85</v>
      </c>
      <c r="J15" s="5" t="s">
        <v>108</v>
      </c>
      <c r="K15" s="5" t="s">
        <v>53</v>
      </c>
      <c r="L15" s="5" t="s">
        <v>35</v>
      </c>
      <c r="M15" s="6" t="n">
        <v>46052</v>
      </c>
      <c r="N15" s="5" t="s">
        <v>54</v>
      </c>
      <c r="O15" s="5" t="s">
        <v>37</v>
      </c>
      <c r="P15" s="7" t="s">
        <v>29</v>
      </c>
      <c r="Q15" s="7" t="s">
        <v>49</v>
      </c>
      <c r="R15" s="7" t="s">
        <v>29</v>
      </c>
      <c r="S15" s="7" t="s">
        <v>29</v>
      </c>
      <c r="T15" s="7" t="s">
        <v>49</v>
      </c>
      <c r="U15" s="7" t="s">
        <v>29</v>
      </c>
      <c r="V15" s="7" t="s">
        <v>49</v>
      </c>
      <c r="W15" s="7" t="s">
        <v>29</v>
      </c>
    </row>
    <row r="16" customFormat="false" ht="23.25" hidden="false" customHeight="true" outlineLevel="0" collapsed="false">
      <c r="A16" s="5" t="s">
        <v>109</v>
      </c>
      <c r="B16" s="5" t="s">
        <v>110</v>
      </c>
      <c r="C16" s="5" t="s">
        <v>111</v>
      </c>
      <c r="D16" s="5" t="s">
        <v>112</v>
      </c>
      <c r="E16" s="5" t="s">
        <v>29</v>
      </c>
      <c r="F16" s="5" t="s">
        <v>29</v>
      </c>
      <c r="G16" s="5" t="s">
        <v>30</v>
      </c>
      <c r="H16" s="5" t="s">
        <v>113</v>
      </c>
      <c r="I16" s="5" t="s">
        <v>77</v>
      </c>
      <c r="J16" s="5" t="s">
        <v>78</v>
      </c>
      <c r="K16" s="5" t="s">
        <v>79</v>
      </c>
      <c r="L16" s="5" t="s">
        <v>35</v>
      </c>
      <c r="M16" s="6" t="n">
        <v>45884</v>
      </c>
      <c r="N16" s="5" t="s">
        <v>71</v>
      </c>
      <c r="O16" s="5" t="s">
        <v>71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15.75" hidden="false" customHeight="true" outlineLevel="0" collapsed="false">
      <c r="A1" s="2" t="s">
        <v>114</v>
      </c>
      <c r="B1" s="2"/>
      <c r="C1" s="2"/>
      <c r="D1" s="2"/>
      <c r="E1" s="2"/>
      <c r="F1" s="2"/>
      <c r="G1" s="2"/>
    </row>
    <row r="3" customFormat="false" ht="23.25" hidden="false" customHeight="true" outlineLevel="0" collapsed="false">
      <c r="A3" s="4" t="s">
        <v>115</v>
      </c>
      <c r="B3" s="4" t="s">
        <v>116</v>
      </c>
      <c r="C3" s="4" t="s">
        <v>117</v>
      </c>
      <c r="D3" s="4" t="s">
        <v>118</v>
      </c>
      <c r="E3" s="4" t="s">
        <v>16</v>
      </c>
      <c r="F3" s="4" t="s">
        <v>119</v>
      </c>
      <c r="G3" s="4" t="s">
        <v>120</v>
      </c>
    </row>
    <row r="4" customFormat="false" ht="23.25" hidden="false" customHeight="true" outlineLevel="0" collapsed="false">
      <c r="A4" s="5" t="s">
        <v>121</v>
      </c>
      <c r="B4" s="5" t="s">
        <v>122</v>
      </c>
      <c r="C4" s="5" t="s">
        <v>123</v>
      </c>
      <c r="D4" s="5" t="s">
        <v>29</v>
      </c>
      <c r="E4" s="5" t="s">
        <v>37</v>
      </c>
      <c r="F4" s="5" t="s">
        <v>124</v>
      </c>
      <c r="G4" s="5" t="s">
        <v>125</v>
      </c>
    </row>
    <row r="5" customFormat="false" ht="23.25" hidden="false" customHeight="true" outlineLevel="0" collapsed="false">
      <c r="A5" s="5" t="s">
        <v>126</v>
      </c>
      <c r="B5" s="5" t="s">
        <v>127</v>
      </c>
      <c r="C5" s="5" t="s">
        <v>128</v>
      </c>
      <c r="D5" s="5" t="s">
        <v>29</v>
      </c>
      <c r="E5" s="5" t="s">
        <v>37</v>
      </c>
      <c r="F5" s="5" t="s">
        <v>84</v>
      </c>
      <c r="G5" s="5" t="s">
        <v>129</v>
      </c>
    </row>
    <row r="6" customFormat="false" ht="15" hidden="false" customHeight="true" outlineLevel="0" collapsed="false">
      <c r="A6" s="5" t="s">
        <v>130</v>
      </c>
      <c r="B6" s="5" t="s">
        <v>131</v>
      </c>
      <c r="C6" s="5" t="s">
        <v>123</v>
      </c>
      <c r="D6" s="5" t="s">
        <v>29</v>
      </c>
      <c r="E6" s="5" t="s">
        <v>37</v>
      </c>
      <c r="F6" s="5" t="s">
        <v>132</v>
      </c>
      <c r="G6" s="5" t="s">
        <v>133</v>
      </c>
    </row>
    <row r="7" customFormat="false" ht="15" hidden="false" customHeight="true" outlineLevel="0" collapsed="false">
      <c r="A7" s="5" t="s">
        <v>134</v>
      </c>
      <c r="B7" s="5" t="s">
        <v>135</v>
      </c>
      <c r="C7" s="5" t="s">
        <v>136</v>
      </c>
      <c r="D7" s="5" t="s">
        <v>29</v>
      </c>
      <c r="E7" s="5" t="s">
        <v>37</v>
      </c>
      <c r="F7" s="5" t="s">
        <v>42</v>
      </c>
      <c r="G7" s="5" t="s">
        <v>137</v>
      </c>
    </row>
    <row r="8" customFormat="false" ht="23.25" hidden="false" customHeight="true" outlineLevel="0" collapsed="false">
      <c r="A8" s="5" t="s">
        <v>138</v>
      </c>
      <c r="B8" s="5" t="s">
        <v>139</v>
      </c>
      <c r="C8" s="5" t="s">
        <v>123</v>
      </c>
      <c r="D8" s="5" t="s">
        <v>29</v>
      </c>
      <c r="E8" s="5" t="s">
        <v>71</v>
      </c>
      <c r="F8" s="5" t="s">
        <v>140</v>
      </c>
      <c r="G8" s="5" t="s">
        <v>141</v>
      </c>
    </row>
    <row r="9" customFormat="false" ht="23.25" hidden="false" customHeight="true" outlineLevel="0" collapsed="false">
      <c r="A9" s="5" t="s">
        <v>142</v>
      </c>
      <c r="B9" s="5" t="s">
        <v>143</v>
      </c>
      <c r="C9" s="5" t="s">
        <v>128</v>
      </c>
      <c r="D9" s="5" t="s">
        <v>29</v>
      </c>
      <c r="E9" s="5" t="s">
        <v>37</v>
      </c>
      <c r="F9" s="5" t="s">
        <v>50</v>
      </c>
      <c r="G9" s="5" t="s">
        <v>144</v>
      </c>
    </row>
    <row r="10" customFormat="false" ht="15" hidden="false" customHeight="true" outlineLevel="0" collapsed="false">
      <c r="A10" s="5" t="s">
        <v>59</v>
      </c>
      <c r="B10" s="5" t="s">
        <v>145</v>
      </c>
      <c r="C10" s="5" t="s">
        <v>146</v>
      </c>
      <c r="D10" s="5" t="s">
        <v>29</v>
      </c>
      <c r="E10" s="5" t="s">
        <v>37</v>
      </c>
      <c r="F10" s="5" t="s">
        <v>61</v>
      </c>
      <c r="G10" s="5" t="s">
        <v>147</v>
      </c>
    </row>
    <row r="11" customFormat="false" ht="15" hidden="false" customHeight="true" outlineLevel="0" collapsed="false">
      <c r="A11" s="5" t="s">
        <v>148</v>
      </c>
      <c r="B11" s="5" t="s">
        <v>149</v>
      </c>
      <c r="C11" s="5" t="s">
        <v>146</v>
      </c>
      <c r="D11" s="5" t="s">
        <v>49</v>
      </c>
      <c r="E11" s="5" t="s">
        <v>71</v>
      </c>
      <c r="F11" s="5" t="s">
        <v>68</v>
      </c>
      <c r="G11" s="5" t="s">
        <v>150</v>
      </c>
    </row>
    <row r="12" customFormat="false" ht="34.5" hidden="false" customHeight="true" outlineLevel="0" collapsed="false">
      <c r="A12" s="5" t="s">
        <v>151</v>
      </c>
      <c r="B12" s="5" t="s">
        <v>152</v>
      </c>
      <c r="C12" s="5" t="s">
        <v>123</v>
      </c>
      <c r="D12" s="5" t="s">
        <v>29</v>
      </c>
      <c r="E12" s="5" t="s">
        <v>71</v>
      </c>
      <c r="F12" s="5" t="s">
        <v>68</v>
      </c>
      <c r="G12" s="5" t="s">
        <v>153</v>
      </c>
    </row>
    <row r="13" customFormat="false" ht="15" hidden="false" customHeight="true" outlineLevel="0" collapsed="false">
      <c r="A13" s="5" t="s">
        <v>154</v>
      </c>
      <c r="B13" s="5" t="s">
        <v>155</v>
      </c>
      <c r="C13" s="5" t="s">
        <v>128</v>
      </c>
      <c r="D13" s="5" t="s">
        <v>49</v>
      </c>
      <c r="E13" s="5" t="s">
        <v>37</v>
      </c>
      <c r="F13" s="5" t="s">
        <v>84</v>
      </c>
      <c r="G13" s="5" t="s">
        <v>156</v>
      </c>
    </row>
    <row r="14" customFormat="false" ht="23.25" hidden="false" customHeight="true" outlineLevel="0" collapsed="false">
      <c r="A14" s="5" t="s">
        <v>157</v>
      </c>
      <c r="B14" s="5" t="s">
        <v>158</v>
      </c>
      <c r="C14" s="5" t="s">
        <v>123</v>
      </c>
      <c r="D14" s="5" t="s">
        <v>29</v>
      </c>
      <c r="E14" s="5" t="s">
        <v>71</v>
      </c>
      <c r="F14" s="5" t="s">
        <v>92</v>
      </c>
      <c r="G14" s="5" t="s">
        <v>159</v>
      </c>
    </row>
    <row r="15" customFormat="false" ht="15" hidden="false" customHeight="true" outlineLevel="0" collapsed="false">
      <c r="A15" s="5" t="s">
        <v>160</v>
      </c>
      <c r="B15" s="5" t="s">
        <v>161</v>
      </c>
      <c r="C15" s="5" t="s">
        <v>123</v>
      </c>
      <c r="D15" s="5" t="s">
        <v>49</v>
      </c>
      <c r="E15" s="5" t="s">
        <v>37</v>
      </c>
      <c r="F15" s="5" t="s">
        <v>97</v>
      </c>
      <c r="G15" s="5" t="s">
        <v>162</v>
      </c>
    </row>
    <row r="16" customFormat="false" ht="15" hidden="false" customHeight="true" outlineLevel="0" collapsed="false">
      <c r="A16" s="5" t="s">
        <v>163</v>
      </c>
      <c r="B16" s="5" t="s">
        <v>164</v>
      </c>
      <c r="C16" s="5" t="s">
        <v>165</v>
      </c>
      <c r="D16" s="5" t="s">
        <v>49</v>
      </c>
      <c r="E16" s="5" t="s">
        <v>37</v>
      </c>
      <c r="F16" s="5" t="s">
        <v>97</v>
      </c>
      <c r="G16" s="5" t="s">
        <v>166</v>
      </c>
    </row>
    <row r="17" customFormat="false" ht="15" hidden="false" customHeight="true" outlineLevel="0" collapsed="false">
      <c r="A17" s="5" t="s">
        <v>167</v>
      </c>
      <c r="B17" s="5" t="s">
        <v>168</v>
      </c>
      <c r="C17" s="5" t="s">
        <v>146</v>
      </c>
      <c r="D17" s="5" t="s">
        <v>29</v>
      </c>
      <c r="E17" s="5" t="s">
        <v>71</v>
      </c>
      <c r="F17" s="5" t="s">
        <v>68</v>
      </c>
      <c r="G17" s="5" t="s">
        <v>169</v>
      </c>
    </row>
    <row r="18" customFormat="false" ht="23.25" hidden="false" customHeight="true" outlineLevel="0" collapsed="false">
      <c r="A18" s="5" t="s">
        <v>170</v>
      </c>
      <c r="B18" s="5" t="s">
        <v>171</v>
      </c>
      <c r="C18" s="5" t="s">
        <v>123</v>
      </c>
      <c r="D18" s="5" t="s">
        <v>29</v>
      </c>
      <c r="E18" s="5" t="s">
        <v>71</v>
      </c>
      <c r="F18" s="5" t="s">
        <v>107</v>
      </c>
      <c r="G18" s="5" t="s">
        <v>172</v>
      </c>
    </row>
    <row r="19" customFormat="false" ht="23.25" hidden="false" customHeight="true" outlineLevel="0" collapsed="false">
      <c r="A19" s="5" t="s">
        <v>112</v>
      </c>
      <c r="B19" s="5" t="s">
        <v>173</v>
      </c>
      <c r="C19" s="5" t="s">
        <v>123</v>
      </c>
      <c r="D19" s="5" t="s">
        <v>29</v>
      </c>
      <c r="E19" s="5" t="s">
        <v>71</v>
      </c>
      <c r="F19" s="5" t="s">
        <v>113</v>
      </c>
      <c r="G19" s="5" t="s">
        <v>174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8"/>
    <col collapsed="false" customWidth="true" hidden="false" outlineLevel="0" max="4" min="4" style="1" width="12"/>
    <col collapsed="false" customWidth="true" hidden="false" outlineLevel="0" max="6" min="5" style="1" width="13"/>
  </cols>
  <sheetData>
    <row r="1" customFormat="false" ht="15.75" hidden="false" customHeight="true" outlineLevel="0" collapsed="false">
      <c r="A1" s="2" t="s">
        <v>175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176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177</v>
      </c>
      <c r="B4" s="4" t="s">
        <v>178</v>
      </c>
      <c r="C4" s="4" t="s">
        <v>179</v>
      </c>
      <c r="D4" s="4" t="s">
        <v>180</v>
      </c>
      <c r="E4" s="4" t="s">
        <v>181</v>
      </c>
      <c r="F4" s="4" t="s">
        <v>182</v>
      </c>
    </row>
    <row r="5" customFormat="false" ht="15" hidden="false" customHeight="true" outlineLevel="0" collapsed="false">
      <c r="A5" s="5" t="s">
        <v>183</v>
      </c>
      <c r="B5" s="5" t="s">
        <v>121</v>
      </c>
      <c r="C5" s="5" t="s">
        <v>25</v>
      </c>
      <c r="D5" s="5" t="s">
        <v>184</v>
      </c>
      <c r="E5" s="5" t="s">
        <v>185</v>
      </c>
      <c r="F5" s="5" t="s">
        <v>186</v>
      </c>
    </row>
    <row r="6" customFormat="false" ht="23.25" hidden="false" customHeight="true" outlineLevel="0" collapsed="false">
      <c r="A6" s="5" t="s">
        <v>187</v>
      </c>
      <c r="B6" s="5" t="s">
        <v>126</v>
      </c>
      <c r="C6" s="5" t="s">
        <v>25</v>
      </c>
      <c r="D6" s="5" t="s">
        <v>184</v>
      </c>
      <c r="E6" s="5" t="s">
        <v>185</v>
      </c>
      <c r="F6" s="5" t="s">
        <v>186</v>
      </c>
    </row>
    <row r="7" customFormat="false" ht="15" hidden="false" customHeight="true" outlineLevel="0" collapsed="false">
      <c r="A7" s="5" t="s">
        <v>188</v>
      </c>
      <c r="B7" s="5" t="s">
        <v>130</v>
      </c>
      <c r="C7" s="5" t="s">
        <v>25</v>
      </c>
      <c r="D7" s="5" t="s">
        <v>184</v>
      </c>
      <c r="E7" s="5" t="s">
        <v>185</v>
      </c>
      <c r="F7" s="5" t="s">
        <v>186</v>
      </c>
    </row>
    <row r="8" customFormat="false" ht="15" hidden="false" customHeight="true" outlineLevel="0" collapsed="false">
      <c r="A8" s="5" t="s">
        <v>189</v>
      </c>
      <c r="B8" s="5" t="s">
        <v>134</v>
      </c>
      <c r="C8" s="5" t="s">
        <v>38</v>
      </c>
      <c r="D8" s="5" t="s">
        <v>184</v>
      </c>
      <c r="E8" s="5" t="s">
        <v>185</v>
      </c>
      <c r="F8" s="5" t="s">
        <v>186</v>
      </c>
    </row>
    <row r="9" customFormat="false" ht="15" hidden="false" customHeight="true" outlineLevel="0" collapsed="false">
      <c r="A9" s="5" t="s">
        <v>190</v>
      </c>
      <c r="B9" s="5" t="s">
        <v>130</v>
      </c>
      <c r="C9" s="5" t="s">
        <v>38</v>
      </c>
      <c r="D9" s="5" t="s">
        <v>184</v>
      </c>
      <c r="E9" s="5" t="s">
        <v>185</v>
      </c>
      <c r="F9" s="5" t="s">
        <v>186</v>
      </c>
    </row>
    <row r="10" customFormat="false" ht="15" hidden="false" customHeight="true" outlineLevel="0" collapsed="false">
      <c r="A10" s="5" t="s">
        <v>191</v>
      </c>
      <c r="B10" s="5" t="s">
        <v>138</v>
      </c>
      <c r="C10" s="5" t="s">
        <v>38</v>
      </c>
      <c r="D10" s="5" t="s">
        <v>184</v>
      </c>
      <c r="E10" s="5" t="s">
        <v>185</v>
      </c>
      <c r="F10" s="5" t="s">
        <v>186</v>
      </c>
    </row>
    <row r="11" customFormat="false" ht="15" hidden="false" customHeight="true" outlineLevel="0" collapsed="false">
      <c r="A11" s="5" t="s">
        <v>192</v>
      </c>
      <c r="B11" s="5" t="s">
        <v>130</v>
      </c>
      <c r="C11" s="5" t="s">
        <v>45</v>
      </c>
      <c r="D11" s="5" t="s">
        <v>184</v>
      </c>
      <c r="E11" s="5" t="s">
        <v>185</v>
      </c>
      <c r="F11" s="5" t="s">
        <v>186</v>
      </c>
    </row>
    <row r="12" customFormat="false" ht="15" hidden="false" customHeight="true" outlineLevel="0" collapsed="false">
      <c r="A12" s="5" t="s">
        <v>193</v>
      </c>
      <c r="B12" s="5" t="s">
        <v>121</v>
      </c>
      <c r="C12" s="5" t="s">
        <v>45</v>
      </c>
      <c r="D12" s="5" t="s">
        <v>184</v>
      </c>
      <c r="E12" s="5" t="s">
        <v>185</v>
      </c>
      <c r="F12" s="5" t="s">
        <v>186</v>
      </c>
    </row>
    <row r="13" customFormat="false" ht="15" hidden="false" customHeight="true" outlineLevel="0" collapsed="false">
      <c r="A13" s="5" t="s">
        <v>194</v>
      </c>
      <c r="B13" s="5" t="s">
        <v>142</v>
      </c>
      <c r="C13" s="5" t="s">
        <v>45</v>
      </c>
      <c r="D13" s="5" t="s">
        <v>184</v>
      </c>
      <c r="E13" s="5" t="s">
        <v>185</v>
      </c>
      <c r="F13" s="5" t="s">
        <v>186</v>
      </c>
    </row>
    <row r="14" customFormat="false" ht="15" hidden="false" customHeight="true" outlineLevel="0" collapsed="false">
      <c r="A14" s="5" t="s">
        <v>195</v>
      </c>
      <c r="B14" s="5" t="s">
        <v>59</v>
      </c>
      <c r="C14" s="5" t="s">
        <v>56</v>
      </c>
      <c r="D14" s="5" t="s">
        <v>184</v>
      </c>
      <c r="E14" s="5" t="s">
        <v>185</v>
      </c>
      <c r="F14" s="5" t="s">
        <v>186</v>
      </c>
    </row>
    <row r="15" customFormat="false" ht="15" hidden="false" customHeight="true" outlineLevel="0" collapsed="false">
      <c r="A15" s="5" t="s">
        <v>196</v>
      </c>
      <c r="B15" s="5" t="s">
        <v>148</v>
      </c>
      <c r="C15" s="5" t="s">
        <v>64</v>
      </c>
      <c r="D15" s="5" t="s">
        <v>184</v>
      </c>
      <c r="E15" s="5" t="s">
        <v>185</v>
      </c>
      <c r="F15" s="5" t="s">
        <v>186</v>
      </c>
    </row>
    <row r="16" customFormat="false" ht="15" hidden="false" customHeight="true" outlineLevel="0" collapsed="false">
      <c r="A16" s="5" t="s">
        <v>197</v>
      </c>
      <c r="B16" s="5" t="s">
        <v>121</v>
      </c>
      <c r="C16" s="5" t="s">
        <v>64</v>
      </c>
      <c r="D16" s="5" t="s">
        <v>184</v>
      </c>
      <c r="E16" s="5" t="s">
        <v>185</v>
      </c>
      <c r="F16" s="5" t="s">
        <v>186</v>
      </c>
    </row>
    <row r="17" customFormat="false" ht="15" hidden="false" customHeight="true" outlineLevel="0" collapsed="false">
      <c r="A17" s="5" t="s">
        <v>198</v>
      </c>
      <c r="B17" s="5" t="s">
        <v>121</v>
      </c>
      <c r="C17" s="5" t="s">
        <v>72</v>
      </c>
      <c r="D17" s="5" t="s">
        <v>184</v>
      </c>
      <c r="E17" s="5" t="s">
        <v>185</v>
      </c>
      <c r="F17" s="5" t="s">
        <v>186</v>
      </c>
    </row>
    <row r="18" customFormat="false" ht="15" hidden="false" customHeight="true" outlineLevel="0" collapsed="false">
      <c r="A18" s="5" t="s">
        <v>199</v>
      </c>
      <c r="B18" s="5" t="s">
        <v>130</v>
      </c>
      <c r="C18" s="5" t="s">
        <v>72</v>
      </c>
      <c r="D18" s="5" t="s">
        <v>184</v>
      </c>
      <c r="E18" s="5" t="s">
        <v>185</v>
      </c>
      <c r="F18" s="5" t="s">
        <v>186</v>
      </c>
    </row>
    <row r="19" customFormat="false" ht="23.25" hidden="false" customHeight="true" outlineLevel="0" collapsed="false">
      <c r="A19" s="5" t="s">
        <v>200</v>
      </c>
      <c r="B19" s="5" t="s">
        <v>151</v>
      </c>
      <c r="C19" s="5" t="s">
        <v>72</v>
      </c>
      <c r="D19" s="5" t="s">
        <v>184</v>
      </c>
      <c r="E19" s="5" t="s">
        <v>185</v>
      </c>
      <c r="F19" s="5" t="s">
        <v>186</v>
      </c>
    </row>
    <row r="20" customFormat="false" ht="15" hidden="false" customHeight="true" outlineLevel="0" collapsed="false">
      <c r="A20" s="5" t="s">
        <v>201</v>
      </c>
      <c r="B20" s="5" t="s">
        <v>130</v>
      </c>
      <c r="C20" s="5" t="s">
        <v>80</v>
      </c>
      <c r="D20" s="5" t="s">
        <v>184</v>
      </c>
      <c r="E20" s="5" t="s">
        <v>185</v>
      </c>
      <c r="F20" s="5" t="s">
        <v>186</v>
      </c>
    </row>
    <row r="21" customFormat="false" ht="23.25" hidden="false" customHeight="true" outlineLevel="0" collapsed="false">
      <c r="A21" s="5" t="s">
        <v>202</v>
      </c>
      <c r="B21" s="5" t="s">
        <v>126</v>
      </c>
      <c r="C21" s="5" t="s">
        <v>80</v>
      </c>
      <c r="D21" s="5" t="s">
        <v>184</v>
      </c>
      <c r="E21" s="5" t="s">
        <v>185</v>
      </c>
      <c r="F21" s="5" t="s">
        <v>186</v>
      </c>
    </row>
    <row r="22" customFormat="false" ht="15" hidden="false" customHeight="true" outlineLevel="0" collapsed="false">
      <c r="A22" s="5" t="s">
        <v>203</v>
      </c>
      <c r="B22" s="5" t="s">
        <v>154</v>
      </c>
      <c r="C22" s="5" t="s">
        <v>80</v>
      </c>
      <c r="D22" s="5" t="s">
        <v>184</v>
      </c>
      <c r="E22" s="5" t="s">
        <v>185</v>
      </c>
      <c r="F22" s="5" t="s">
        <v>186</v>
      </c>
    </row>
    <row r="23" customFormat="false" ht="15" hidden="false" customHeight="true" outlineLevel="0" collapsed="false">
      <c r="A23" s="5" t="s">
        <v>204</v>
      </c>
      <c r="B23" s="5" t="s">
        <v>121</v>
      </c>
      <c r="C23" s="5" t="s">
        <v>87</v>
      </c>
      <c r="D23" s="5" t="s">
        <v>184</v>
      </c>
      <c r="E23" s="5" t="s">
        <v>185</v>
      </c>
      <c r="F23" s="5" t="s">
        <v>186</v>
      </c>
    </row>
    <row r="24" customFormat="false" ht="15" hidden="false" customHeight="true" outlineLevel="0" collapsed="false">
      <c r="A24" s="5" t="s">
        <v>205</v>
      </c>
      <c r="B24" s="5" t="s">
        <v>157</v>
      </c>
      <c r="C24" s="5" t="s">
        <v>87</v>
      </c>
      <c r="D24" s="5" t="s">
        <v>184</v>
      </c>
      <c r="E24" s="5" t="s">
        <v>185</v>
      </c>
      <c r="F24" s="5" t="s">
        <v>186</v>
      </c>
    </row>
    <row r="25" customFormat="false" ht="15" hidden="false" customHeight="true" outlineLevel="0" collapsed="false">
      <c r="A25" s="5" t="s">
        <v>206</v>
      </c>
      <c r="B25" s="5" t="s">
        <v>160</v>
      </c>
      <c r="C25" s="5" t="s">
        <v>93</v>
      </c>
      <c r="D25" s="5" t="s">
        <v>184</v>
      </c>
      <c r="E25" s="5" t="s">
        <v>185</v>
      </c>
      <c r="F25" s="5" t="s">
        <v>186</v>
      </c>
    </row>
    <row r="26" customFormat="false" ht="15" hidden="false" customHeight="true" outlineLevel="0" collapsed="false">
      <c r="A26" s="5" t="s">
        <v>207</v>
      </c>
      <c r="B26" s="5" t="s">
        <v>163</v>
      </c>
      <c r="C26" s="5" t="s">
        <v>93</v>
      </c>
      <c r="D26" s="5" t="s">
        <v>184</v>
      </c>
      <c r="E26" s="5" t="s">
        <v>185</v>
      </c>
      <c r="F26" s="5" t="s">
        <v>186</v>
      </c>
    </row>
    <row r="27" customFormat="false" ht="15" hidden="false" customHeight="true" outlineLevel="0" collapsed="false">
      <c r="A27" s="5" t="s">
        <v>208</v>
      </c>
      <c r="B27" s="5" t="s">
        <v>154</v>
      </c>
      <c r="C27" s="5" t="s">
        <v>93</v>
      </c>
      <c r="D27" s="5" t="s">
        <v>184</v>
      </c>
      <c r="E27" s="5" t="s">
        <v>185</v>
      </c>
      <c r="F27" s="5" t="s">
        <v>186</v>
      </c>
    </row>
    <row r="28" customFormat="false" ht="15" hidden="false" customHeight="true" outlineLevel="0" collapsed="false">
      <c r="A28" s="5" t="s">
        <v>209</v>
      </c>
      <c r="B28" s="5" t="s">
        <v>167</v>
      </c>
      <c r="C28" s="5" t="s">
        <v>99</v>
      </c>
      <c r="D28" s="5" t="s">
        <v>184</v>
      </c>
      <c r="E28" s="5" t="s">
        <v>185</v>
      </c>
      <c r="F28" s="5" t="s">
        <v>186</v>
      </c>
    </row>
    <row r="29" customFormat="false" ht="15" hidden="false" customHeight="true" outlineLevel="0" collapsed="false">
      <c r="A29" s="5" t="s">
        <v>210</v>
      </c>
      <c r="B29" s="5" t="s">
        <v>121</v>
      </c>
      <c r="C29" s="5" t="s">
        <v>99</v>
      </c>
      <c r="D29" s="5" t="s">
        <v>184</v>
      </c>
      <c r="E29" s="5" t="s">
        <v>185</v>
      </c>
      <c r="F29" s="5" t="s">
        <v>186</v>
      </c>
    </row>
    <row r="30" customFormat="false" ht="15" hidden="false" customHeight="true" outlineLevel="0" collapsed="false">
      <c r="A30" s="5" t="s">
        <v>211</v>
      </c>
      <c r="B30" s="5" t="s">
        <v>130</v>
      </c>
      <c r="C30" s="5" t="s">
        <v>103</v>
      </c>
      <c r="D30" s="5" t="s">
        <v>184</v>
      </c>
      <c r="E30" s="5" t="s">
        <v>185</v>
      </c>
      <c r="F30" s="5" t="s">
        <v>186</v>
      </c>
    </row>
    <row r="31" customFormat="false" ht="15" hidden="false" customHeight="true" outlineLevel="0" collapsed="false">
      <c r="A31" s="5" t="s">
        <v>212</v>
      </c>
      <c r="B31" s="5" t="s">
        <v>121</v>
      </c>
      <c r="C31" s="5" t="s">
        <v>103</v>
      </c>
      <c r="D31" s="5" t="s">
        <v>184</v>
      </c>
      <c r="E31" s="5" t="s">
        <v>185</v>
      </c>
      <c r="F31" s="5" t="s">
        <v>186</v>
      </c>
    </row>
    <row r="32" customFormat="false" ht="23.25" hidden="false" customHeight="true" outlineLevel="0" collapsed="false">
      <c r="A32" s="5" t="s">
        <v>213</v>
      </c>
      <c r="B32" s="5" t="s">
        <v>170</v>
      </c>
      <c r="C32" s="5" t="s">
        <v>103</v>
      </c>
      <c r="D32" s="5" t="s">
        <v>184</v>
      </c>
      <c r="E32" s="5" t="s">
        <v>185</v>
      </c>
      <c r="F32" s="5" t="s">
        <v>186</v>
      </c>
    </row>
    <row r="33" customFormat="false" ht="15" hidden="false" customHeight="true" outlineLevel="0" collapsed="false">
      <c r="A33" s="5" t="s">
        <v>214</v>
      </c>
      <c r="B33" s="5" t="s">
        <v>112</v>
      </c>
      <c r="C33" s="5" t="s">
        <v>109</v>
      </c>
      <c r="D33" s="5" t="s">
        <v>184</v>
      </c>
      <c r="E33" s="5" t="s">
        <v>185</v>
      </c>
      <c r="F33" s="5" t="s">
        <v>186</v>
      </c>
    </row>
    <row r="34" customFormat="false" ht="15" hidden="false" customHeight="true" outlineLevel="0" collapsed="false">
      <c r="A34" s="5" t="s">
        <v>215</v>
      </c>
      <c r="B34" s="5" t="s">
        <v>25</v>
      </c>
      <c r="C34" s="5" t="s">
        <v>216</v>
      </c>
      <c r="D34" s="5" t="s">
        <v>217</v>
      </c>
      <c r="E34" s="5" t="s">
        <v>186</v>
      </c>
      <c r="F34" s="5" t="s">
        <v>218</v>
      </c>
    </row>
    <row r="35" customFormat="false" ht="23.25" hidden="false" customHeight="true" outlineLevel="0" collapsed="false">
      <c r="A35" s="5" t="s">
        <v>219</v>
      </c>
      <c r="B35" s="5" t="s">
        <v>38</v>
      </c>
      <c r="C35" s="5" t="s">
        <v>220</v>
      </c>
      <c r="D35" s="5" t="s">
        <v>217</v>
      </c>
      <c r="E35" s="5" t="s">
        <v>186</v>
      </c>
      <c r="F35" s="5" t="s">
        <v>218</v>
      </c>
    </row>
    <row r="36" customFormat="false" ht="15" hidden="false" customHeight="true" outlineLevel="0" collapsed="false">
      <c r="A36" s="5" t="s">
        <v>221</v>
      </c>
      <c r="B36" s="5" t="s">
        <v>45</v>
      </c>
      <c r="C36" s="5" t="s">
        <v>222</v>
      </c>
      <c r="D36" s="5" t="s">
        <v>217</v>
      </c>
      <c r="E36" s="5" t="s">
        <v>186</v>
      </c>
      <c r="F36" s="5" t="s">
        <v>218</v>
      </c>
    </row>
    <row r="37" customFormat="false" ht="23.25" hidden="false" customHeight="true" outlineLevel="0" collapsed="false">
      <c r="A37" s="5" t="s">
        <v>223</v>
      </c>
      <c r="B37" s="5" t="s">
        <v>56</v>
      </c>
      <c r="C37" s="5" t="s">
        <v>224</v>
      </c>
      <c r="D37" s="5" t="s">
        <v>217</v>
      </c>
      <c r="E37" s="5" t="s">
        <v>186</v>
      </c>
      <c r="F37" s="5" t="s">
        <v>218</v>
      </c>
    </row>
    <row r="38" customFormat="false" ht="15" hidden="false" customHeight="true" outlineLevel="0" collapsed="false">
      <c r="A38" s="5" t="s">
        <v>225</v>
      </c>
      <c r="B38" s="5" t="s">
        <v>64</v>
      </c>
      <c r="C38" s="5" t="s">
        <v>226</v>
      </c>
      <c r="D38" s="5" t="s">
        <v>217</v>
      </c>
      <c r="E38" s="5" t="s">
        <v>186</v>
      </c>
      <c r="F38" s="5" t="s">
        <v>218</v>
      </c>
    </row>
    <row r="39" customFormat="false" ht="23.25" hidden="false" customHeight="true" outlineLevel="0" collapsed="false">
      <c r="A39" s="5" t="s">
        <v>227</v>
      </c>
      <c r="B39" s="5" t="s">
        <v>72</v>
      </c>
      <c r="C39" s="5" t="s">
        <v>228</v>
      </c>
      <c r="D39" s="5" t="s">
        <v>217</v>
      </c>
      <c r="E39" s="5" t="s">
        <v>186</v>
      </c>
      <c r="F39" s="5" t="s">
        <v>218</v>
      </c>
    </row>
    <row r="40" customFormat="false" ht="23.25" hidden="false" customHeight="true" outlineLevel="0" collapsed="false">
      <c r="A40" s="5" t="s">
        <v>229</v>
      </c>
      <c r="B40" s="5" t="s">
        <v>80</v>
      </c>
      <c r="C40" s="5" t="s">
        <v>230</v>
      </c>
      <c r="D40" s="5" t="s">
        <v>217</v>
      </c>
      <c r="E40" s="5" t="s">
        <v>186</v>
      </c>
      <c r="F40" s="5" t="s">
        <v>218</v>
      </c>
    </row>
    <row r="41" customFormat="false" ht="23.25" hidden="false" customHeight="true" outlineLevel="0" collapsed="false">
      <c r="A41" s="5" t="s">
        <v>231</v>
      </c>
      <c r="B41" s="5" t="s">
        <v>87</v>
      </c>
      <c r="C41" s="5" t="s">
        <v>228</v>
      </c>
      <c r="D41" s="5" t="s">
        <v>217</v>
      </c>
      <c r="E41" s="5" t="s">
        <v>186</v>
      </c>
      <c r="F41" s="5" t="s">
        <v>218</v>
      </c>
    </row>
    <row r="42" customFormat="false" ht="23.25" hidden="false" customHeight="true" outlineLevel="0" collapsed="false">
      <c r="A42" s="5" t="s">
        <v>232</v>
      </c>
      <c r="B42" s="5" t="s">
        <v>93</v>
      </c>
      <c r="C42" s="5" t="s">
        <v>233</v>
      </c>
      <c r="D42" s="5" t="s">
        <v>217</v>
      </c>
      <c r="E42" s="5" t="s">
        <v>186</v>
      </c>
      <c r="F42" s="5" t="s">
        <v>218</v>
      </c>
    </row>
    <row r="43" customFormat="false" ht="23.25" hidden="false" customHeight="true" outlineLevel="0" collapsed="false">
      <c r="A43" s="5" t="s">
        <v>234</v>
      </c>
      <c r="B43" s="5" t="s">
        <v>103</v>
      </c>
      <c r="C43" s="5" t="s">
        <v>235</v>
      </c>
      <c r="D43" s="5" t="s">
        <v>217</v>
      </c>
      <c r="E43" s="5" t="s">
        <v>186</v>
      </c>
      <c r="F43" s="5" t="s">
        <v>218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7" min="6" style="1" width="11"/>
    <col collapsed="false" customWidth="true" hidden="false" outlineLevel="0" max="8" min="8" style="1" width="10"/>
    <col collapsed="false" customWidth="true" hidden="false" outlineLevel="0" max="9" min="9" style="1" width="13"/>
  </cols>
  <sheetData>
    <row r="1" customFormat="false" ht="15.75" hidden="false" customHeight="true" outlineLevel="0" collapsed="false">
      <c r="A1" s="2" t="s">
        <v>236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237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8" t="s">
        <v>238</v>
      </c>
      <c r="B3" s="9" t="n">
        <v>46243</v>
      </c>
      <c r="C3" s="8" t="s">
        <v>239</v>
      </c>
      <c r="D3" s="10" t="n">
        <v>180</v>
      </c>
    </row>
    <row r="5" customFormat="false" ht="23.25" hidden="false" customHeight="true" outlineLevel="0" collapsed="false">
      <c r="A5" s="4" t="s">
        <v>2</v>
      </c>
      <c r="B5" s="4" t="s">
        <v>3</v>
      </c>
      <c r="C5" s="4" t="s">
        <v>8</v>
      </c>
      <c r="D5" s="4" t="s">
        <v>240</v>
      </c>
      <c r="E5" s="4" t="s">
        <v>241</v>
      </c>
      <c r="F5" s="4" t="s">
        <v>242</v>
      </c>
      <c r="G5" s="4" t="s">
        <v>243</v>
      </c>
      <c r="H5" s="4" t="s">
        <v>244</v>
      </c>
      <c r="I5" s="4" t="s">
        <v>245</v>
      </c>
    </row>
    <row r="6" customFormat="false" ht="15" hidden="false" customHeight="true" outlineLevel="0" collapsed="false">
      <c r="A6" s="5" t="str">
        <f aca="false">Inventory!A5</f>
        <v>SYS-001</v>
      </c>
      <c r="B6" s="5" t="str">
        <f aca="false">Inventory!B5</f>
        <v>Credit Scoring Engine</v>
      </c>
      <c r="C6" s="5" t="str">
        <f aca="false">Inventory!G5</f>
        <v>High</v>
      </c>
      <c r="D6" s="5" t="str">
        <f aca="false">IF(Inventory!N5&lt;&gt;"complete","GAP","")</f>
        <v/>
      </c>
      <c r="E6" s="5" t="str">
        <f aca="false">IF(Inventory!O5="absent","GAP","")</f>
        <v/>
      </c>
      <c r="F6" s="5" t="str">
        <f aca="false">IF(Inventory!K5="unassigned","GAP","")</f>
        <v/>
      </c>
      <c r="G6" s="5" t="str">
        <f aca="false">IF(($B$3-Inventory!M5)&gt;$D$3,"STALE","")</f>
        <v/>
      </c>
      <c r="H6" s="5" t="n">
        <f aca="false">COUNTIF(D6:G6,"GAP")+COUNTIF(D6:G6,"STALE")</f>
        <v>0</v>
      </c>
      <c r="I6" s="5" t="str">
        <f aca="false">IF(AND(C6="High",H6&gt;=2),"P1-Critical",IF(OR(C6="High",H6&gt;=2),"P2-High",IF(H6&gt;=1,"P3-Medium","P4-Low")))</f>
        <v>P2-High</v>
      </c>
    </row>
    <row r="7" customFormat="false" ht="15" hidden="false" customHeight="true" outlineLevel="0" collapsed="false">
      <c r="A7" s="5" t="str">
        <f aca="false">Inventory!A6</f>
        <v>SYS-002</v>
      </c>
      <c r="B7" s="5" t="str">
        <f aca="false">Inventory!B6</f>
        <v>Card Fraud Detection</v>
      </c>
      <c r="C7" s="5" t="str">
        <f aca="false">Inventory!G6</f>
        <v>High</v>
      </c>
      <c r="D7" s="5" t="str">
        <f aca="false">IF(Inventory!N6&lt;&gt;"complete","GAP","")</f>
        <v/>
      </c>
      <c r="E7" s="5" t="str">
        <f aca="false">IF(Inventory!O6="absent","GAP","")</f>
        <v/>
      </c>
      <c r="F7" s="5" t="str">
        <f aca="false">IF(Inventory!K6="unassigned","GAP","")</f>
        <v/>
      </c>
      <c r="G7" s="5" t="str">
        <f aca="false">IF(($B$3-Inventory!M6)&gt;$D$3,"STALE","")</f>
        <v/>
      </c>
      <c r="H7" s="5" t="n">
        <f aca="false">COUNTIF(D7:G7,"GAP")+COUNTIF(D7:G7,"STALE")</f>
        <v>0</v>
      </c>
      <c r="I7" s="5" t="str">
        <f aca="false">IF(AND(C7="High",H7&gt;=2),"P1-Critical",IF(OR(C7="High",H7&gt;=2),"P2-High",IF(H7&gt;=1,"P3-Medium","P4-Low")))</f>
        <v>P2-High</v>
      </c>
    </row>
    <row r="8" customFormat="false" ht="23.25" hidden="false" customHeight="true" outlineLevel="0" collapsed="false">
      <c r="A8" s="5" t="str">
        <f aca="false">Inventory!A7</f>
        <v>SYS-003</v>
      </c>
      <c r="B8" s="5" t="str">
        <f aca="false">Inventory!B7</f>
        <v>AML Transaction Monitoring</v>
      </c>
      <c r="C8" s="5" t="str">
        <f aca="false">Inventory!G7</f>
        <v>High</v>
      </c>
      <c r="D8" s="5" t="str">
        <f aca="false">IF(Inventory!N7&lt;&gt;"complete","GAP","")</f>
        <v>GAP</v>
      </c>
      <c r="E8" s="5" t="str">
        <f aca="false">IF(Inventory!O7="absent","GAP","")</f>
        <v/>
      </c>
      <c r="F8" s="5" t="str">
        <f aca="false">IF(Inventory!K7="unassigned","GAP","")</f>
        <v/>
      </c>
      <c r="G8" s="5" t="str">
        <f aca="false">IF(($B$3-Inventory!M7)&gt;$D$3,"STALE","")</f>
        <v>STALE</v>
      </c>
      <c r="H8" s="5" t="n">
        <f aca="false">COUNTIF(D8:G8,"GAP")+COUNTIF(D8:G8,"STALE")</f>
        <v>2</v>
      </c>
      <c r="I8" s="5" t="str">
        <f aca="false">IF(AND(C8="High",H8&gt;=2),"P1-Critical",IF(OR(C8="High",H8&gt;=2),"P2-High",IF(H8&gt;=1,"P3-Medium","P4-Low")))</f>
        <v>P1-Critical</v>
      </c>
    </row>
    <row r="9" customFormat="false" ht="15" hidden="false" customHeight="true" outlineLevel="0" collapsed="false">
      <c r="A9" s="5" t="str">
        <f aca="false">Inventory!A8</f>
        <v>SYS-004</v>
      </c>
      <c r="B9" s="5" t="str">
        <f aca="false">Inventory!B8</f>
        <v>KYC Document OCR</v>
      </c>
      <c r="C9" s="5" t="str">
        <f aca="false">Inventory!G8</f>
        <v>Medium</v>
      </c>
      <c r="D9" s="5" t="str">
        <f aca="false">IF(Inventory!N8&lt;&gt;"complete","GAP","")</f>
        <v/>
      </c>
      <c r="E9" s="5" t="str">
        <f aca="false">IF(Inventory!O8="absent","GAP","")</f>
        <v/>
      </c>
      <c r="F9" s="5" t="str">
        <f aca="false">IF(Inventory!K8="unassigned","GAP","")</f>
        <v/>
      </c>
      <c r="G9" s="5" t="str">
        <f aca="false">IF(($B$3-Inventory!M8)&gt;$D$3,"STALE","")</f>
        <v/>
      </c>
      <c r="H9" s="5" t="n">
        <f aca="false">COUNTIF(D9:G9,"GAP")+COUNTIF(D9:G9,"STALE")</f>
        <v>0</v>
      </c>
      <c r="I9" s="5" t="str">
        <f aca="false">IF(AND(C9="High",H9&gt;=2),"P1-Critical",IF(OR(C9="High",H9&gt;=2),"P2-High",IF(H9&gt;=1,"P3-Medium","P4-Low")))</f>
        <v>P4-Low</v>
      </c>
    </row>
    <row r="10" customFormat="false" ht="15" hidden="false" customHeight="true" outlineLevel="0" collapsed="false">
      <c r="A10" s="5" t="str">
        <f aca="false">Inventory!A9</f>
        <v>SYS-005</v>
      </c>
      <c r="B10" s="5" t="str">
        <f aca="false">Inventory!B9</f>
        <v>Customer Support Chatbot</v>
      </c>
      <c r="C10" s="5" t="str">
        <f aca="false">Inventory!G9</f>
        <v>Medium</v>
      </c>
      <c r="D10" s="5" t="str">
        <f aca="false">IF(Inventory!N9&lt;&gt;"complete","GAP","")</f>
        <v>GAP</v>
      </c>
      <c r="E10" s="5" t="str">
        <f aca="false">IF(Inventory!O9="absent","GAP","")</f>
        <v>GAP</v>
      </c>
      <c r="F10" s="5" t="str">
        <f aca="false">IF(Inventory!K9="unassigned","GAP","")</f>
        <v/>
      </c>
      <c r="G10" s="5" t="str">
        <f aca="false">IF(($B$3-Inventory!M9)&gt;$D$3,"STALE","")</f>
        <v>STALE</v>
      </c>
      <c r="H10" s="5" t="n">
        <f aca="false">COUNTIF(D10:G10,"GAP")+COUNTIF(D10:G10,"STALE")</f>
        <v>3</v>
      </c>
      <c r="I10" s="5" t="str">
        <f aca="false">IF(AND(C10="High",H10&gt;=2),"P1-Critical",IF(OR(C10="High",H10&gt;=2),"P2-High",IF(H10&gt;=1,"P3-Medium","P4-Low")))</f>
        <v>P2-High</v>
      </c>
    </row>
    <row r="11" customFormat="false" ht="15" hidden="false" customHeight="true" outlineLevel="0" collapsed="false">
      <c r="A11" s="5" t="str">
        <f aca="false">Inventory!A10</f>
        <v>SYS-006</v>
      </c>
      <c r="B11" s="5" t="str">
        <f aca="false">Inventory!B10</f>
        <v>Churn Prediction</v>
      </c>
      <c r="C11" s="5" t="str">
        <f aca="false">Inventory!G10</f>
        <v>Medium</v>
      </c>
      <c r="D11" s="5" t="str">
        <f aca="false">IF(Inventory!N10&lt;&gt;"complete","GAP","")</f>
        <v>GAP</v>
      </c>
      <c r="E11" s="5" t="str">
        <f aca="false">IF(Inventory!O10="absent","GAP","")</f>
        <v>GAP</v>
      </c>
      <c r="F11" s="5" t="str">
        <f aca="false">IF(Inventory!K10="unassigned","GAP","")</f>
        <v>GAP</v>
      </c>
      <c r="G11" s="5" t="str">
        <f aca="false">IF(($B$3-Inventory!M10)&gt;$D$3,"STALE","")</f>
        <v>STALE</v>
      </c>
      <c r="H11" s="5" t="n">
        <f aca="false">COUNTIF(D11:G11,"GAP")+COUNTIF(D11:G11,"STALE")</f>
        <v>4</v>
      </c>
      <c r="I11" s="5" t="str">
        <f aca="false">IF(AND(C11="High",H11&gt;=2),"P1-Critical",IF(OR(C11="High",H11&gt;=2),"P2-High",IF(H11&gt;=1,"P3-Medium","P4-Low")))</f>
        <v>P2-High</v>
      </c>
    </row>
    <row r="12" customFormat="false" ht="23.25" hidden="false" customHeight="true" outlineLevel="0" collapsed="false">
      <c r="A12" s="5" t="str">
        <f aca="false">Inventory!A11</f>
        <v>SYS-007</v>
      </c>
      <c r="B12" s="5" t="str">
        <f aca="false">Inventory!B11</f>
        <v>Loan Default Early Warning</v>
      </c>
      <c r="C12" s="5" t="str">
        <f aca="false">Inventory!G11</f>
        <v>High</v>
      </c>
      <c r="D12" s="5" t="str">
        <f aca="false">IF(Inventory!N11&lt;&gt;"complete","GAP","")</f>
        <v/>
      </c>
      <c r="E12" s="5" t="str">
        <f aca="false">IF(Inventory!O11="absent","GAP","")</f>
        <v/>
      </c>
      <c r="F12" s="5" t="str">
        <f aca="false">IF(Inventory!K11="unassigned","GAP","")</f>
        <v/>
      </c>
      <c r="G12" s="5" t="str">
        <f aca="false">IF(($B$3-Inventory!M11)&gt;$D$3,"STALE","")</f>
        <v/>
      </c>
      <c r="H12" s="5" t="n">
        <f aca="false">COUNTIF(D12:G12,"GAP")+COUNTIF(D12:G12,"STALE")</f>
        <v>0</v>
      </c>
      <c r="I12" s="5" t="str">
        <f aca="false">IF(AND(C12="High",H12&gt;=2),"P1-Critical",IF(OR(C12="High",H12&gt;=2),"P2-High",IF(H12&gt;=1,"P3-Medium","P4-Low")))</f>
        <v>P2-High</v>
      </c>
    </row>
    <row r="13" customFormat="false" ht="23.25" hidden="false" customHeight="true" outlineLevel="0" collapsed="false">
      <c r="A13" s="5" t="str">
        <f aca="false">Inventory!A12</f>
        <v>SYS-008</v>
      </c>
      <c r="B13" s="5" t="str">
        <f aca="false">Inventory!B12</f>
        <v>Marketing Campaign Optimizer</v>
      </c>
      <c r="C13" s="5" t="str">
        <f aca="false">Inventory!G12</f>
        <v>Low</v>
      </c>
      <c r="D13" s="5" t="str">
        <f aca="false">IF(Inventory!N12&lt;&gt;"complete","GAP","")</f>
        <v>GAP</v>
      </c>
      <c r="E13" s="5" t="str">
        <f aca="false">IF(Inventory!O12="absent","GAP","")</f>
        <v>GAP</v>
      </c>
      <c r="F13" s="5" t="str">
        <f aca="false">IF(Inventory!K12="unassigned","GAP","")</f>
        <v>GAP</v>
      </c>
      <c r="G13" s="5" t="str">
        <f aca="false">IF(($B$3-Inventory!M12)&gt;$D$3,"STALE","")</f>
        <v/>
      </c>
      <c r="H13" s="5" t="n">
        <f aca="false">COUNTIF(D13:G13,"GAP")+COUNTIF(D13:G13,"STALE")</f>
        <v>3</v>
      </c>
      <c r="I13" s="5" t="str">
        <f aca="false">IF(AND(C13="High",H13&gt;=2),"P1-Critical",IF(OR(C13="High",H13&gt;=2),"P2-High",IF(H13&gt;=1,"P3-Medium","P4-Low")))</f>
        <v>P2-High</v>
      </c>
    </row>
    <row r="14" customFormat="false" ht="23.25" hidden="false" customHeight="true" outlineLevel="0" collapsed="false">
      <c r="A14" s="5" t="str">
        <f aca="false">Inventory!A13</f>
        <v>SYS-009</v>
      </c>
      <c r="B14" s="5" t="str">
        <f aca="false">Inventory!B13</f>
        <v>Branch Cash Demand Forecast</v>
      </c>
      <c r="C14" s="5" t="str">
        <f aca="false">Inventory!G13</f>
        <v>Low</v>
      </c>
      <c r="D14" s="5" t="str">
        <f aca="false">IF(Inventory!N13&lt;&gt;"complete","GAP","")</f>
        <v/>
      </c>
      <c r="E14" s="5" t="str">
        <f aca="false">IF(Inventory!O13="absent","GAP","")</f>
        <v/>
      </c>
      <c r="F14" s="5" t="str">
        <f aca="false">IF(Inventory!K13="unassigned","GAP","")</f>
        <v/>
      </c>
      <c r="G14" s="5" t="str">
        <f aca="false">IF(($B$3-Inventory!M13)&gt;$D$3,"STALE","")</f>
        <v/>
      </c>
      <c r="H14" s="5" t="n">
        <f aca="false">COUNTIF(D14:G14,"GAP")+COUNTIF(D14:G14,"STALE")</f>
        <v>0</v>
      </c>
      <c r="I14" s="5" t="str">
        <f aca="false">IF(AND(C14="High",H14&gt;=2),"P1-Critical",IF(OR(C14="High",H14&gt;=2),"P2-High",IF(H14&gt;=1,"P3-Medium","P4-Low")))</f>
        <v>P4-Low</v>
      </c>
    </row>
    <row r="15" customFormat="false" ht="23.25" hidden="false" customHeight="true" outlineLevel="0" collapsed="false">
      <c r="A15" s="5" t="str">
        <f aca="false">Inventory!A14</f>
        <v>SYS-010</v>
      </c>
      <c r="B15" s="5" t="str">
        <f aca="false">Inventory!B14</f>
        <v>Call Centre Speech Analytics</v>
      </c>
      <c r="C15" s="5" t="str">
        <f aca="false">Inventory!G14</f>
        <v>Medium</v>
      </c>
      <c r="D15" s="5" t="str">
        <f aca="false">IF(Inventory!N14&lt;&gt;"complete","GAP","")</f>
        <v>GAP</v>
      </c>
      <c r="E15" s="5" t="str">
        <f aca="false">IF(Inventory!O14="absent","GAP","")</f>
        <v>GAP</v>
      </c>
      <c r="F15" s="5" t="str">
        <f aca="false">IF(Inventory!K14="unassigned","GAP","")</f>
        <v>GAP</v>
      </c>
      <c r="G15" s="5" t="str">
        <f aca="false">IF(($B$3-Inventory!M14)&gt;$D$3,"STALE","")</f>
        <v>STALE</v>
      </c>
      <c r="H15" s="5" t="n">
        <f aca="false">COUNTIF(D15:G15,"GAP")+COUNTIF(D15:G15,"STALE")</f>
        <v>4</v>
      </c>
      <c r="I15" s="5" t="str">
        <f aca="false">IF(AND(C15="High",H15&gt;=2),"P1-Critical",IF(OR(C15="High",H15&gt;=2),"P2-High",IF(H15&gt;=1,"P3-Medium","P4-Low")))</f>
        <v>P2-High</v>
      </c>
    </row>
    <row r="16" customFormat="false" ht="15" hidden="false" customHeight="true" outlineLevel="0" collapsed="false">
      <c r="A16" s="5" t="str">
        <f aca="false">Inventory!A15</f>
        <v>SYS-011</v>
      </c>
      <c r="B16" s="5" t="str">
        <f aca="false">Inventory!B15</f>
        <v>Collections Prioritisation</v>
      </c>
      <c r="C16" s="5" t="str">
        <f aca="false">Inventory!G15</f>
        <v>High</v>
      </c>
      <c r="D16" s="5" t="str">
        <f aca="false">IF(Inventory!N15&lt;&gt;"complete","GAP","")</f>
        <v>GAP</v>
      </c>
      <c r="E16" s="5" t="str">
        <f aca="false">IF(Inventory!O15="absent","GAP","")</f>
        <v/>
      </c>
      <c r="F16" s="5" t="str">
        <f aca="false">IF(Inventory!K15="unassigned","GAP","")</f>
        <v/>
      </c>
      <c r="G16" s="5" t="str">
        <f aca="false">IF(($B$3-Inventory!M15)&gt;$D$3,"STALE","")</f>
        <v>STALE</v>
      </c>
      <c r="H16" s="5" t="n">
        <f aca="false">COUNTIF(D16:G16,"GAP")+COUNTIF(D16:G16,"STALE")</f>
        <v>2</v>
      </c>
      <c r="I16" s="5" t="str">
        <f aca="false">IF(AND(C16="High",H16&gt;=2),"P1-Critical",IF(OR(C16="High",H16&gt;=2),"P2-High",IF(H16&gt;=1,"P3-Medium","P4-Low")))</f>
        <v>P1-Critical</v>
      </c>
    </row>
    <row r="17" customFormat="false" ht="15" hidden="false" customHeight="true" outlineLevel="0" collapsed="false">
      <c r="A17" s="5" t="str">
        <f aca="false">Inventory!A16</f>
        <v>SYS-012</v>
      </c>
      <c r="B17" s="5" t="str">
        <f aca="false">Inventory!B16</f>
        <v>HR CV Screening</v>
      </c>
      <c r="C17" s="5" t="str">
        <f aca="false">Inventory!G16</f>
        <v>High</v>
      </c>
      <c r="D17" s="5" t="str">
        <f aca="false">IF(Inventory!N16&lt;&gt;"complete","GAP","")</f>
        <v>GAP</v>
      </c>
      <c r="E17" s="5" t="str">
        <f aca="false">IF(Inventory!O16="absent","GAP","")</f>
        <v>GAP</v>
      </c>
      <c r="F17" s="5" t="str">
        <f aca="false">IF(Inventory!K16="unassigned","GAP","")</f>
        <v>GAP</v>
      </c>
      <c r="G17" s="5" t="str">
        <f aca="false">IF(($B$3-Inventory!M16)&gt;$D$3,"STALE","")</f>
        <v>STALE</v>
      </c>
      <c r="H17" s="5" t="n">
        <f aca="false">COUNTIF(D17:G17,"GAP")+COUNTIF(D17:G17,"STALE")</f>
        <v>4</v>
      </c>
      <c r="I17" s="5" t="str">
        <f aca="false">IF(AND(C17="High",H17&gt;=2),"P1-Critical",IF(OR(C17="High",H17&gt;=2),"P2-High",IF(H17&gt;=1,"P3-Medium","P4-Low")))</f>
        <v>P1-Critical</v>
      </c>
    </row>
    <row r="19" customFormat="false" ht="15" hidden="false" customHeight="true" outlineLevel="0" collapsed="false">
      <c r="A19" s="11" t="s">
        <v>246</v>
      </c>
    </row>
    <row r="20" customFormat="false" ht="15" hidden="false" customHeight="true" outlineLevel="0" collapsed="false">
      <c r="A20" s="12" t="s">
        <v>247</v>
      </c>
      <c r="B20" s="13" t="n">
        <f aca="false">COUNTA(A6:A17)</f>
        <v>12</v>
      </c>
    </row>
    <row r="21" customFormat="false" ht="15" hidden="false" customHeight="true" outlineLevel="0" collapsed="false">
      <c r="A21" s="12" t="s">
        <v>248</v>
      </c>
      <c r="B21" s="13" t="n">
        <f aca="false">COUNTIF(I6:I17,"P1-Critical")</f>
        <v>3</v>
      </c>
    </row>
    <row r="22" customFormat="false" ht="15" hidden="false" customHeight="true" outlineLevel="0" collapsed="false">
      <c r="A22" s="12" t="s">
        <v>249</v>
      </c>
      <c r="B22" s="13" t="n">
        <f aca="false">COUNTIF(I6:I17,"P2-High")</f>
        <v>7</v>
      </c>
    </row>
    <row r="23" customFormat="false" ht="15" hidden="false" customHeight="true" outlineLevel="0" collapsed="false">
      <c r="A23" s="12" t="s">
        <v>250</v>
      </c>
      <c r="B23" s="13" t="n">
        <f aca="false">COUNTIF(H6:H17,"&gt;=1")</f>
        <v>7</v>
      </c>
    </row>
    <row r="24" customFormat="false" ht="15" hidden="false" customHeight="true" outlineLevel="0" collapsed="false">
      <c r="A24" s="12" t="s">
        <v>251</v>
      </c>
      <c r="B24" s="13" t="n">
        <f aca="false">COUNTIF(D6:D17,"GAP")</f>
        <v>7</v>
      </c>
    </row>
    <row r="25" customFormat="false" ht="15" hidden="false" customHeight="true" outlineLevel="0" collapsed="false">
      <c r="A25" s="12" t="s">
        <v>252</v>
      </c>
      <c r="B25" s="13" t="n">
        <f aca="false">COUNTIF(E6:E17,"GAP")</f>
        <v>5</v>
      </c>
    </row>
    <row r="26" customFormat="false" ht="15" hidden="false" customHeight="true" outlineLevel="0" collapsed="false">
      <c r="A26" s="12" t="s">
        <v>253</v>
      </c>
      <c r="B26" s="13" t="n">
        <f aca="false">COUNTIF(F6:F17,"GAP")</f>
        <v>4</v>
      </c>
    </row>
    <row r="27" customFormat="false" ht="15" hidden="false" customHeight="true" outlineLevel="0" collapsed="false">
      <c r="A27" s="12" t="s">
        <v>254</v>
      </c>
      <c r="B27" s="13" t="n">
        <f aca="false">COUNTIF(G6:G17,"STALE")</f>
        <v>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0"/>
    <col collapsed="false" customWidth="true" hidden="false" outlineLevel="0" max="3" min="3" style="1" width="34"/>
  </cols>
  <sheetData>
    <row r="1" customFormat="false" ht="15.75" hidden="false" customHeight="true" outlineLevel="0" collapsed="false">
      <c r="A1" s="2" t="s">
        <v>255</v>
      </c>
      <c r="B1" s="2"/>
      <c r="C1" s="2"/>
    </row>
    <row r="3" customFormat="false" ht="15" hidden="false" customHeight="true" outlineLevel="0" collapsed="false">
      <c r="A3" s="4" t="s">
        <v>256</v>
      </c>
      <c r="B3" s="4" t="s">
        <v>257</v>
      </c>
      <c r="C3" s="4" t="s">
        <v>258</v>
      </c>
    </row>
    <row r="4" customFormat="false" ht="15" hidden="false" customHeight="true" outlineLevel="0" collapsed="false">
      <c r="A4" s="5" t="s">
        <v>259</v>
      </c>
      <c r="B4" s="5" t="s">
        <v>260</v>
      </c>
      <c r="C4" s="5" t="s">
        <v>261</v>
      </c>
    </row>
    <row r="5" customFormat="false" ht="15" hidden="false" customHeight="true" outlineLevel="0" collapsed="false">
      <c r="A5" s="5" t="s">
        <v>262</v>
      </c>
      <c r="B5" s="5" t="s">
        <v>263</v>
      </c>
      <c r="C5" s="5" t="s">
        <v>264</v>
      </c>
    </row>
    <row r="6" customFormat="false" ht="23.25" hidden="false" customHeight="true" outlineLevel="0" collapsed="false">
      <c r="A6" s="5" t="s">
        <v>265</v>
      </c>
      <c r="B6" s="5" t="s">
        <v>266</v>
      </c>
      <c r="C6" s="5" t="s">
        <v>267</v>
      </c>
    </row>
    <row r="7" customFormat="false" ht="15" hidden="false" customHeight="true" outlineLevel="0" collapsed="false">
      <c r="A7" s="5" t="s">
        <v>268</v>
      </c>
      <c r="B7" s="5" t="s">
        <v>269</v>
      </c>
      <c r="C7" s="5" t="s">
        <v>267</v>
      </c>
    </row>
    <row r="8" customFormat="false" ht="15" hidden="false" customHeight="true" outlineLevel="0" collapsed="false">
      <c r="A8" s="5" t="s">
        <v>270</v>
      </c>
      <c r="B8" s="5" t="s">
        <v>271</v>
      </c>
      <c r="C8" s="5" t="s">
        <v>272</v>
      </c>
    </row>
    <row r="9" customFormat="false" ht="15" hidden="false" customHeight="true" outlineLevel="0" collapsed="false">
      <c r="A9" s="5" t="s">
        <v>273</v>
      </c>
      <c r="B9" s="5" t="s">
        <v>274</v>
      </c>
      <c r="C9" s="5" t="s">
        <v>275</v>
      </c>
    </row>
    <row r="10" customFormat="false" ht="15" hidden="false" customHeight="true" outlineLevel="0" collapsed="false">
      <c r="A10" s="5" t="s">
        <v>276</v>
      </c>
      <c r="B10" s="5" t="s">
        <v>277</v>
      </c>
      <c r="C10" s="5" t="s">
        <v>278</v>
      </c>
    </row>
    <row r="11" customFormat="false" ht="23.25" hidden="false" customHeight="true" outlineLevel="0" collapsed="false">
      <c r="A11" s="5" t="s">
        <v>279</v>
      </c>
      <c r="B11" s="5" t="s">
        <v>280</v>
      </c>
      <c r="C11" s="5" t="s">
        <v>281</v>
      </c>
    </row>
    <row r="12" customFormat="false" ht="15" hidden="false" customHeight="true" outlineLevel="0" collapsed="false">
      <c r="A12" s="5" t="s">
        <v>282</v>
      </c>
      <c r="B12" s="5" t="s">
        <v>283</v>
      </c>
      <c r="C12" s="5" t="s">
        <v>284</v>
      </c>
    </row>
    <row r="13" customFormat="false" ht="15" hidden="false" customHeight="true" outlineLevel="0" collapsed="false">
      <c r="A13" s="5" t="s">
        <v>285</v>
      </c>
      <c r="B13" s="5" t="s">
        <v>286</v>
      </c>
      <c r="C13" s="5" t="s">
        <v>281</v>
      </c>
    </row>
    <row r="14" customFormat="false" ht="15" hidden="false" customHeight="true" outlineLevel="0" collapsed="false">
      <c r="A14" s="5" t="s">
        <v>287</v>
      </c>
      <c r="B14" s="5" t="s">
        <v>288</v>
      </c>
      <c r="C14" s="5" t="s">
        <v>289</v>
      </c>
    </row>
    <row r="15" customFormat="false" ht="23.25" hidden="false" customHeight="true" outlineLevel="0" collapsed="false">
      <c r="A15" s="5" t="s">
        <v>290</v>
      </c>
      <c r="B15" s="5" t="s">
        <v>291</v>
      </c>
      <c r="C15" s="5" t="s">
        <v>292</v>
      </c>
    </row>
    <row r="16" customFormat="false" ht="15" hidden="false" customHeight="true" outlineLevel="0" collapsed="false">
      <c r="A16" s="5" t="s">
        <v>293</v>
      </c>
      <c r="B16" s="5" t="s">
        <v>294</v>
      </c>
      <c r="C16" s="5" t="s">
        <v>295</v>
      </c>
    </row>
    <row r="17" customFormat="false" ht="23.25" hidden="false" customHeight="true" outlineLevel="0" collapsed="false">
      <c r="A17" s="5" t="s">
        <v>296</v>
      </c>
      <c r="B17" s="5" t="s">
        <v>297</v>
      </c>
      <c r="C17" s="5" t="s">
        <v>298</v>
      </c>
    </row>
    <row r="18" customFormat="false" ht="23.85" hidden="false" customHeight="false" outlineLevel="0" collapsed="false">
      <c r="A18" s="5" t="s">
        <v>299</v>
      </c>
      <c r="B18" s="5" t="s">
        <v>300</v>
      </c>
      <c r="C18" s="5" t="s">
        <v>301</v>
      </c>
    </row>
    <row r="19" customFormat="false" ht="15" hidden="false" customHeight="false" outlineLevel="0" collapsed="false">
      <c r="A19" s="5" t="s">
        <v>302</v>
      </c>
      <c r="B19" s="5" t="s">
        <v>303</v>
      </c>
      <c r="C19" s="5" t="s">
        <v>301</v>
      </c>
    </row>
    <row r="20" customFormat="false" ht="23.85" hidden="false" customHeight="false" outlineLevel="0" collapsed="false">
      <c r="A20" s="5" t="s">
        <v>304</v>
      </c>
      <c r="B20" s="5" t="s">
        <v>305</v>
      </c>
      <c r="C20" s="5" t="s">
        <v>267</v>
      </c>
    </row>
    <row r="21" customFormat="false" ht="15" hidden="false" customHeight="false" outlineLevel="0" collapsed="false">
      <c r="A21" s="5" t="s">
        <v>306</v>
      </c>
      <c r="B21" s="5" t="s">
        <v>307</v>
      </c>
      <c r="C21" s="5" t="s">
        <v>267</v>
      </c>
    </row>
    <row r="22" customFormat="false" ht="15" hidden="false" customHeight="false" outlineLevel="0" collapsed="false">
      <c r="A22" s="5" t="s">
        <v>308</v>
      </c>
      <c r="B22" s="5" t="s">
        <v>309</v>
      </c>
      <c r="C22" s="5" t="s">
        <v>301</v>
      </c>
    </row>
    <row r="23" customFormat="false" ht="15" hidden="false" customHeight="false" outlineLevel="0" collapsed="false">
      <c r="A23" s="5" t="s">
        <v>310</v>
      </c>
      <c r="B23" s="5" t="s">
        <v>311</v>
      </c>
      <c r="C23" s="5" t="s">
        <v>267</v>
      </c>
    </row>
    <row r="24" customFormat="false" ht="15" hidden="false" customHeight="false" outlineLevel="0" collapsed="false">
      <c r="A24" s="5" t="s">
        <v>312</v>
      </c>
      <c r="B24" s="5" t="s">
        <v>313</v>
      </c>
      <c r="C24" s="5" t="s">
        <v>301</v>
      </c>
    </row>
    <row r="25" customFormat="false" ht="15" hidden="false" customHeight="false" outlineLevel="0" collapsed="false">
      <c r="A25" s="5" t="s">
        <v>314</v>
      </c>
      <c r="B25" s="5" t="s">
        <v>315</v>
      </c>
      <c r="C25" s="5" t="s">
        <v>267</v>
      </c>
    </row>
    <row r="26" customFormat="false" ht="23.85" hidden="false" customHeight="false" outlineLevel="0" collapsed="false">
      <c r="A26" s="5" t="s">
        <v>316</v>
      </c>
      <c r="B26" s="5" t="s">
        <v>317</v>
      </c>
      <c r="C26" s="5" t="s">
        <v>298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2026-08-09T18:11:04Z</dcterms:created>
  <dc:creator>openpyxl</dc:creator>
  <dc:description/>
  <dc:language>en-US</dc:language>
  <cp:lastModifiedBy/>
  <dcterms:modified xsi:type="dcterms:W3CDTF">2026-08-16T17:37:01Z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