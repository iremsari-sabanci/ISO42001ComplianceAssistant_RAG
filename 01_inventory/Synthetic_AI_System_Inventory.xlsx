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Data_Sources" sheetId="2" state="visible" r:id="rId2"/>
    <sheet xmlns:r="http://schemas.openxmlformats.org/officeDocument/2006/relationships" name="Lineage_Edges" sheetId="3" state="visible" r:id="rId3"/>
    <sheet xmlns:r="http://schemas.openxmlformats.org/officeDocument/2006/relationships" name="Gap_Summary" sheetId="4" state="visible" r:id="rId4"/>
    <sheet xmlns:r="http://schemas.openxmlformats.org/officeDocument/2006/relationships" name="Data_Dictionary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3"/>
    </font>
    <font>
      <name val="Arial"/>
      <charset val="1"/>
      <family val="0"/>
      <i val="1"/>
      <color rgb="FF7F7F7F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3A5F"/>
      <sz val="11"/>
    </font>
  </fonts>
  <fills count="4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164" fontId="7" fillId="3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164" fontId="7" fillId="3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W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4" min="1" max="1"/>
    <col width="22" customWidth="1" style="14" min="2" max="2"/>
    <col width="34" customWidth="1" style="14" min="3" max="3"/>
    <col width="30" customWidth="1" style="14" min="4" max="4"/>
    <col width="11" customWidth="1" style="14" min="5" max="5"/>
    <col width="10" customWidth="1" style="14" min="6" max="7"/>
    <col width="18" customWidth="1" style="14" min="8" max="8"/>
    <col width="16" customWidth="1" style="14" min="9" max="9"/>
    <col width="18" customWidth="1" style="14" min="10" max="10"/>
    <col width="12" customWidth="1" style="14" min="11" max="11"/>
    <col width="14" customWidth="1" style="14" min="12" max="12"/>
    <col width="13" customWidth="1" style="14" min="13" max="13"/>
    <col width="12" customWidth="1" style="14" min="14" max="14"/>
    <col width="11" customWidth="1" style="14" min="15" max="15"/>
    <col width="13" customWidth="1" style="14" min="16" max="23"/>
  </cols>
  <sheetData>
    <row r="1" ht="15.75" customHeight="1" s="15">
      <c r="A1" s="16" t="inlineStr">
        <is>
          <t>Synthetic AI System Inventory  —  Meridian Financial Services (fictional)</t>
        </is>
      </c>
    </row>
    <row r="2" ht="15" customHeight="1" s="15">
      <c r="A2" s="17" t="inlineStr">
        <is>
          <t>Fully fabricated data for academic demonstration. No real institution, system, or individual is represented. Structure mirrors the production workbook so the identical RAG pipeline runs on both.</t>
        </is>
      </c>
    </row>
    <row r="4" ht="23.25" customHeight="1" s="15">
      <c r="A4" s="18" t="inlineStr">
        <is>
          <t>SYS_ID</t>
        </is>
      </c>
      <c r="B4" s="18" t="inlineStr">
        <is>
          <t>System_Name</t>
        </is>
      </c>
      <c r="C4" s="18" t="inlineStr">
        <is>
          <t>System_Purpose</t>
        </is>
      </c>
      <c r="D4" s="18" t="inlineStr">
        <is>
          <t>Data_Inputs</t>
        </is>
      </c>
      <c r="E4" s="18" t="inlineStr">
        <is>
          <t>Automated_Decision</t>
        </is>
      </c>
      <c r="F4" s="18" t="inlineStr">
        <is>
          <t>Personal_Data</t>
        </is>
      </c>
      <c r="G4" s="18" t="inlineStr">
        <is>
          <t>Risk_Level</t>
        </is>
      </c>
      <c r="H4" s="18" t="inlineStr">
        <is>
          <t>Business_Owner</t>
        </is>
      </c>
      <c r="I4" s="18" t="inlineStr">
        <is>
          <t>Technical_Owner</t>
        </is>
      </c>
      <c r="J4" s="18" t="inlineStr">
        <is>
          <t>Data_Steward</t>
        </is>
      </c>
      <c r="K4" s="18" t="inlineStr">
        <is>
          <t>Steward_Status</t>
        </is>
      </c>
      <c r="L4" s="18" t="inlineStr">
        <is>
          <t>Deployment_Env</t>
        </is>
      </c>
      <c r="M4" s="18" t="inlineStr">
        <is>
          <t>Last_Audit_Date</t>
        </is>
      </c>
      <c r="N4" s="18" t="inlineStr">
        <is>
          <t>Lineage_Status</t>
        </is>
      </c>
      <c r="O4" s="18" t="inlineStr">
        <is>
          <t>DQ_Regime</t>
        </is>
      </c>
      <c r="P4" s="18" t="inlineStr">
        <is>
          <t>Impact_Assessment</t>
        </is>
      </c>
      <c r="Q4" s="18" t="inlineStr">
        <is>
          <t>Human_Oversight</t>
        </is>
      </c>
      <c r="R4" s="18" t="inlineStr">
        <is>
          <t>Verification_Validation</t>
        </is>
      </c>
      <c r="S4" s="18" t="inlineStr">
        <is>
          <t>Technical_Doc</t>
        </is>
      </c>
      <c r="T4" s="18" t="inlineStr">
        <is>
          <t>Event_Logging</t>
        </is>
      </c>
      <c r="U4" s="18" t="inlineStr">
        <is>
          <t>Incident_Plan</t>
        </is>
      </c>
      <c r="V4" s="18" t="inlineStr">
        <is>
          <t>User_Transparency</t>
        </is>
      </c>
      <c r="W4" s="18" t="inlineStr">
        <is>
          <t>Intended_Use_Doc</t>
        </is>
      </c>
    </row>
    <row r="5" ht="23.25" customHeight="1" s="15">
      <c r="A5" s="19" t="inlineStr">
        <is>
          <t>SYS-001</t>
        </is>
      </c>
      <c r="B5" s="19" t="inlineStr">
        <is>
          <t>Credit Scoring Engine</t>
        </is>
      </c>
      <c r="C5" s="19" t="inlineStr">
        <is>
          <t>Retail loan approval scoring for personal and SME lending</t>
        </is>
      </c>
      <c r="D5" s="19" t="inlineStr">
        <is>
          <t>DS-CUST-MASTER; DS-CREDIT-BUREAU; DS-TXN-CORE</t>
        </is>
      </c>
      <c r="E5" s="19" t="inlineStr">
        <is>
          <t>Y</t>
        </is>
      </c>
      <c r="F5" s="19" t="inlineStr">
        <is>
          <t>Y</t>
        </is>
      </c>
      <c r="G5" s="19" t="inlineStr">
        <is>
          <t>High</t>
        </is>
      </c>
      <c r="H5" s="19" t="inlineStr">
        <is>
          <t>Retail Lending</t>
        </is>
      </c>
      <c r="I5" s="19" t="inlineStr">
        <is>
          <t>MLOps-Credit</t>
        </is>
      </c>
      <c r="J5" s="19" t="inlineStr">
        <is>
          <t>Retail Data Steward</t>
        </is>
      </c>
      <c r="K5" s="19" t="inlineStr">
        <is>
          <t>assigned</t>
        </is>
      </c>
      <c r="L5" s="19" t="inlineStr">
        <is>
          <t>On-Prem</t>
        </is>
      </c>
      <c r="M5" s="20" t="n">
        <v>46157</v>
      </c>
      <c r="N5" s="19" t="inlineStr">
        <is>
          <t>complete</t>
        </is>
      </c>
      <c r="O5" s="19" t="inlineStr">
        <is>
          <t>present</t>
        </is>
      </c>
      <c r="P5" s="21" t="inlineStr">
        <is>
          <t>Y</t>
        </is>
      </c>
      <c r="Q5" s="21" t="inlineStr">
        <is>
          <t>human-in-the-loop</t>
        </is>
      </c>
      <c r="R5" s="21" t="inlineStr">
        <is>
          <t>Y</t>
        </is>
      </c>
      <c r="S5" s="21" t="inlineStr">
        <is>
          <t>Y</t>
        </is>
      </c>
      <c r="T5" s="21" t="inlineStr">
        <is>
          <t>Y</t>
        </is>
      </c>
      <c r="U5" s="21" t="inlineStr">
        <is>
          <t>Y</t>
        </is>
      </c>
      <c r="V5" s="21" t="inlineStr">
        <is>
          <t>Y</t>
        </is>
      </c>
      <c r="W5" s="21" t="inlineStr">
        <is>
          <t>Y</t>
        </is>
      </c>
    </row>
    <row r="6" ht="23.25" customHeight="1" s="15">
      <c r="A6" s="19" t="inlineStr">
        <is>
          <t>SYS-002</t>
        </is>
      </c>
      <c r="B6" s="19" t="inlineStr">
        <is>
          <t>Card Fraud Detection</t>
        </is>
      </c>
      <c r="C6" s="19" t="inlineStr">
        <is>
          <t>Real-time authorisation-time fraud scoring on card transactions</t>
        </is>
      </c>
      <c r="D6" s="19" t="inlineStr">
        <is>
          <t>DS-CARD-AUTH; DS-TXN-CORE; DS-DEVICE-FP</t>
        </is>
      </c>
      <c r="E6" s="19" t="inlineStr">
        <is>
          <t>Y</t>
        </is>
      </c>
      <c r="F6" s="19" t="inlineStr">
        <is>
          <t>Y</t>
        </is>
      </c>
      <c r="G6" s="19" t="inlineStr">
        <is>
          <t>High</t>
        </is>
      </c>
      <c r="H6" s="19" t="inlineStr">
        <is>
          <t>Cards &amp; Payments</t>
        </is>
      </c>
      <c r="I6" s="19" t="inlineStr">
        <is>
          <t>MLOps-Fraud</t>
        </is>
      </c>
      <c r="J6" s="19" t="inlineStr">
        <is>
          <t>Payments Data Steward</t>
        </is>
      </c>
      <c r="K6" s="19" t="inlineStr">
        <is>
          <t>assigned</t>
        </is>
      </c>
      <c r="L6" s="19" t="inlineStr">
        <is>
          <t>On-Prem</t>
        </is>
      </c>
      <c r="M6" s="20" t="n">
        <v>46114</v>
      </c>
      <c r="N6" s="19" t="inlineStr">
        <is>
          <t>complete</t>
        </is>
      </c>
      <c r="O6" s="19" t="inlineStr">
        <is>
          <t>present</t>
        </is>
      </c>
      <c r="P6" s="21" t="inlineStr">
        <is>
          <t>Y</t>
        </is>
      </c>
      <c r="Q6" s="21" t="inlineStr">
        <is>
          <t>human-in-the-loop</t>
        </is>
      </c>
      <c r="R6" s="21" t="inlineStr">
        <is>
          <t>Y</t>
        </is>
      </c>
      <c r="S6" s="21" t="inlineStr">
        <is>
          <t>Y</t>
        </is>
      </c>
      <c r="T6" s="21" t="inlineStr">
        <is>
          <t>Y</t>
        </is>
      </c>
      <c r="U6" s="21" t="inlineStr">
        <is>
          <t>Y</t>
        </is>
      </c>
      <c r="V6" s="21" t="inlineStr">
        <is>
          <t>Y</t>
        </is>
      </c>
      <c r="W6" s="21" t="inlineStr">
        <is>
          <t>Y</t>
        </is>
      </c>
    </row>
    <row r="7" ht="23.25" customHeight="1" s="15">
      <c r="A7" s="19" t="inlineStr">
        <is>
          <t>SYS-003</t>
        </is>
      </c>
      <c r="B7" s="19" t="inlineStr">
        <is>
          <t>AML Transaction Monitoring</t>
        </is>
      </c>
      <c r="C7" s="19" t="inlineStr">
        <is>
          <t>Flags potentially suspicious transactions for human analyst review</t>
        </is>
      </c>
      <c r="D7" s="19" t="inlineStr">
        <is>
          <t>DS-TXN-CORE; DS-CUST-MASTER; DS-SANCTIONS-API</t>
        </is>
      </c>
      <c r="E7" s="19" t="inlineStr">
        <is>
          <t>N</t>
        </is>
      </c>
      <c r="F7" s="19" t="inlineStr">
        <is>
          <t>Y</t>
        </is>
      </c>
      <c r="G7" s="19" t="inlineStr">
        <is>
          <t>High</t>
        </is>
      </c>
      <c r="H7" s="19" t="inlineStr">
        <is>
          <t>Compliance / AML</t>
        </is>
      </c>
      <c r="I7" s="19" t="inlineStr">
        <is>
          <t>MLOps-AML</t>
        </is>
      </c>
      <c r="J7" s="19" t="inlineStr">
        <is>
          <t>(AML analyst lead)</t>
        </is>
      </c>
      <c r="K7" s="19" t="inlineStr">
        <is>
          <t>de_facto</t>
        </is>
      </c>
      <c r="L7" s="19" t="inlineStr">
        <is>
          <t>On-Prem</t>
        </is>
      </c>
      <c r="M7" s="20" t="n">
        <v>45981</v>
      </c>
      <c r="N7" s="19" t="inlineStr">
        <is>
          <t>partial</t>
        </is>
      </c>
      <c r="O7" s="19" t="inlineStr">
        <is>
          <t>present</t>
        </is>
      </c>
      <c r="P7" s="21" t="inlineStr">
        <is>
          <t>Y</t>
        </is>
      </c>
      <c r="Q7" s="21" t="inlineStr">
        <is>
          <t>human-on-the-loop</t>
        </is>
      </c>
      <c r="R7" s="21" t="inlineStr">
        <is>
          <t>Y</t>
        </is>
      </c>
      <c r="S7" s="21" t="inlineStr">
        <is>
          <t>Y</t>
        </is>
      </c>
      <c r="T7" s="21" t="inlineStr">
        <is>
          <t>n/a</t>
        </is>
      </c>
      <c r="U7" s="21" t="inlineStr">
        <is>
          <t>Y</t>
        </is>
      </c>
      <c r="V7" s="21" t="inlineStr">
        <is>
          <t>N</t>
        </is>
      </c>
      <c r="W7" s="21" t="inlineStr">
        <is>
          <t>Y</t>
        </is>
      </c>
    </row>
    <row r="8" ht="23.25" customHeight="1" s="15">
      <c r="A8" s="19" t="inlineStr">
        <is>
          <t>SYS-004</t>
        </is>
      </c>
      <c r="B8" s="19" t="inlineStr">
        <is>
          <t>KYC Document OCR</t>
        </is>
      </c>
      <c r="C8" s="19" t="inlineStr">
        <is>
          <t>Extracts identity fields from onboarding documents</t>
        </is>
      </c>
      <c r="D8" s="19" t="inlineStr">
        <is>
          <t>DS-DOC-SCAN</t>
        </is>
      </c>
      <c r="E8" s="19" t="inlineStr">
        <is>
          <t>N</t>
        </is>
      </c>
      <c r="F8" s="19" t="inlineStr">
        <is>
          <t>Y</t>
        </is>
      </c>
      <c r="G8" s="19" t="inlineStr">
        <is>
          <t>Medium</t>
        </is>
      </c>
      <c r="H8" s="19" t="inlineStr">
        <is>
          <t>Onboarding</t>
        </is>
      </c>
      <c r="I8" s="19" t="inlineStr">
        <is>
          <t>MLOps-DocAI</t>
        </is>
      </c>
      <c r="J8" s="19" t="inlineStr">
        <is>
          <t>Onboarding Data Steward</t>
        </is>
      </c>
      <c r="K8" s="19" t="inlineStr">
        <is>
          <t>assigned</t>
        </is>
      </c>
      <c r="L8" s="19" t="inlineStr">
        <is>
          <t>On-Prem</t>
        </is>
      </c>
      <c r="M8" s="20" t="n">
        <v>46091</v>
      </c>
      <c r="N8" s="19" t="inlineStr">
        <is>
          <t>complete</t>
        </is>
      </c>
      <c r="O8" s="19" t="inlineStr">
        <is>
          <t>present</t>
        </is>
      </c>
      <c r="P8" s="21" t="inlineStr">
        <is>
          <t>Y</t>
        </is>
      </c>
      <c r="Q8" s="21" t="n"/>
      <c r="R8" s="21" t="inlineStr">
        <is>
          <t>Y</t>
        </is>
      </c>
      <c r="S8" s="21" t="inlineStr">
        <is>
          <t>Y</t>
        </is>
      </c>
      <c r="T8" s="21" t="inlineStr">
        <is>
          <t>n/a</t>
        </is>
      </c>
      <c r="U8" s="21" t="inlineStr">
        <is>
          <t>Y</t>
        </is>
      </c>
      <c r="V8" s="21" t="inlineStr">
        <is>
          <t>Y</t>
        </is>
      </c>
      <c r="W8" s="21" t="inlineStr">
        <is>
          <t>Y</t>
        </is>
      </c>
    </row>
    <row r="9" ht="23.25" customHeight="1" s="15">
      <c r="A9" s="19" t="inlineStr">
        <is>
          <t>SYS-005</t>
        </is>
      </c>
      <c r="B9" s="19" t="inlineStr">
        <is>
          <t>Customer Support Chatbot</t>
        </is>
      </c>
      <c r="C9" s="19" t="inlineStr">
        <is>
          <t>Natural-language Q&amp;A over banking FAQ with account context</t>
        </is>
      </c>
      <c r="D9" s="19" t="inlineStr">
        <is>
          <t>DS-FAQ-KB; DS-CUST-MASTER</t>
        </is>
      </c>
      <c r="E9" s="19" t="inlineStr">
        <is>
          <t>N</t>
        </is>
      </c>
      <c r="F9" s="19" t="inlineStr">
        <is>
          <t>Y</t>
        </is>
      </c>
      <c r="G9" s="19" t="inlineStr">
        <is>
          <t>Medium</t>
        </is>
      </c>
      <c r="H9" s="19" t="inlineStr">
        <is>
          <t>Customer Experience</t>
        </is>
      </c>
      <c r="I9" s="19" t="inlineStr">
        <is>
          <t>MLOps-ConvAI</t>
        </is>
      </c>
      <c r="J9" s="19" t="inlineStr">
        <is>
          <t>(CX ops lead)</t>
        </is>
      </c>
      <c r="K9" s="19" t="inlineStr">
        <is>
          <t>de_facto</t>
        </is>
      </c>
      <c r="L9" s="19" t="inlineStr">
        <is>
          <t>On-Prem</t>
        </is>
      </c>
      <c r="M9" s="20" t="n">
        <v>46030</v>
      </c>
      <c r="N9" s="19" t="inlineStr">
        <is>
          <t>partial</t>
        </is>
      </c>
      <c r="O9" s="19" t="inlineStr">
        <is>
          <t>absent</t>
        </is>
      </c>
      <c r="P9" s="21" t="inlineStr">
        <is>
          <t>N</t>
        </is>
      </c>
      <c r="Q9" s="21" t="n"/>
      <c r="R9" s="21" t="inlineStr">
        <is>
          <t>Y</t>
        </is>
      </c>
      <c r="S9" s="21" t="inlineStr">
        <is>
          <t>N</t>
        </is>
      </c>
      <c r="T9" s="21" t="inlineStr">
        <is>
          <t>n/a</t>
        </is>
      </c>
      <c r="U9" s="21" t="inlineStr">
        <is>
          <t>N</t>
        </is>
      </c>
      <c r="V9" s="21" t="inlineStr">
        <is>
          <t>N</t>
        </is>
      </c>
      <c r="W9" s="21" t="inlineStr">
        <is>
          <t>Y</t>
        </is>
      </c>
    </row>
    <row r="10" ht="23.25" customHeight="1" s="15">
      <c r="A10" s="19" t="inlineStr">
        <is>
          <t>SYS-006</t>
        </is>
      </c>
      <c r="B10" s="19" t="inlineStr">
        <is>
          <t>Churn Prediction</t>
        </is>
      </c>
      <c r="C10" s="19" t="inlineStr">
        <is>
          <t>Predicts customer attrition to drive retention campaigns</t>
        </is>
      </c>
      <c r="D10" s="19" t="inlineStr">
        <is>
          <t>DS-CUST-MASTER; DS-TXN-CORE; DS-INTERACTION-LOG</t>
        </is>
      </c>
      <c r="E10" s="19" t="inlineStr">
        <is>
          <t>N</t>
        </is>
      </c>
      <c r="F10" s="19" t="inlineStr">
        <is>
          <t>Y</t>
        </is>
      </c>
      <c r="G10" s="19" t="inlineStr">
        <is>
          <t>Medium</t>
        </is>
      </c>
      <c r="H10" s="19" t="inlineStr">
        <is>
          <t>Marketing / Retention</t>
        </is>
      </c>
      <c r="I10" s="19" t="inlineStr">
        <is>
          <t>MLOps-Analytics</t>
        </is>
      </c>
      <c r="J10" s="19" t="inlineStr">
        <is>
          <t>(unassigned)</t>
        </is>
      </c>
      <c r="K10" s="19" t="inlineStr">
        <is>
          <t>unassigned</t>
        </is>
      </c>
      <c r="L10" s="19" t="inlineStr">
        <is>
          <t>On-Prem</t>
        </is>
      </c>
      <c r="M10" s="20" t="n">
        <v>45930</v>
      </c>
      <c r="N10" s="19" t="inlineStr">
        <is>
          <t>partial</t>
        </is>
      </c>
      <c r="O10" s="19" t="inlineStr">
        <is>
          <t>absent</t>
        </is>
      </c>
      <c r="P10" s="21" t="inlineStr">
        <is>
          <t>N</t>
        </is>
      </c>
      <c r="Q10" s="21" t="n"/>
      <c r="R10" s="21" t="inlineStr">
        <is>
          <t>N</t>
        </is>
      </c>
      <c r="S10" s="21" t="inlineStr">
        <is>
          <t>N</t>
        </is>
      </c>
      <c r="T10" s="21" t="inlineStr">
        <is>
          <t>n/a</t>
        </is>
      </c>
      <c r="U10" s="21" t="inlineStr">
        <is>
          <t>N</t>
        </is>
      </c>
      <c r="V10" s="21" t="inlineStr">
        <is>
          <t>N</t>
        </is>
      </c>
      <c r="W10" s="21" t="inlineStr">
        <is>
          <t>N</t>
        </is>
      </c>
    </row>
    <row r="11" ht="23.25" customHeight="1" s="15">
      <c r="A11" s="19" t="inlineStr">
        <is>
          <t>SYS-007</t>
        </is>
      </c>
      <c r="B11" s="19" t="inlineStr">
        <is>
          <t>Loan Default Early Warning</t>
        </is>
      </c>
      <c r="C11" s="19" t="inlineStr">
        <is>
          <t>Advisory risk scoring on the existing loan book</t>
        </is>
      </c>
      <c r="D11" s="19" t="inlineStr">
        <is>
          <t>DS-TXN-CORE; DS-CREDIT-BUREAU; DS-MACRO-FEED</t>
        </is>
      </c>
      <c r="E11" s="19" t="inlineStr">
        <is>
          <t>N</t>
        </is>
      </c>
      <c r="F11" s="19" t="inlineStr">
        <is>
          <t>Y</t>
        </is>
      </c>
      <c r="G11" s="19" t="inlineStr">
        <is>
          <t>High</t>
        </is>
      </c>
      <c r="H11" s="19" t="inlineStr">
        <is>
          <t>Risk Management</t>
        </is>
      </c>
      <c r="I11" s="19" t="inlineStr">
        <is>
          <t>MLOps-Risk</t>
        </is>
      </c>
      <c r="J11" s="19" t="inlineStr">
        <is>
          <t>Risk Data Steward</t>
        </is>
      </c>
      <c r="K11" s="19" t="inlineStr">
        <is>
          <t>assigned</t>
        </is>
      </c>
      <c r="L11" s="19" t="inlineStr">
        <is>
          <t>On-Prem</t>
        </is>
      </c>
      <c r="M11" s="20" t="n">
        <v>46137</v>
      </c>
      <c r="N11" s="19" t="inlineStr">
        <is>
          <t>complete</t>
        </is>
      </c>
      <c r="O11" s="19" t="inlineStr">
        <is>
          <t>present</t>
        </is>
      </c>
      <c r="P11" s="21" t="inlineStr">
        <is>
          <t>Y</t>
        </is>
      </c>
      <c r="Q11" s="21" t="inlineStr">
        <is>
          <t>human-on-the-loop</t>
        </is>
      </c>
      <c r="R11" s="21" t="inlineStr">
        <is>
          <t>Y</t>
        </is>
      </c>
      <c r="S11" s="21" t="inlineStr">
        <is>
          <t>Y</t>
        </is>
      </c>
      <c r="T11" s="21" t="inlineStr">
        <is>
          <t>n/a</t>
        </is>
      </c>
      <c r="U11" s="21" t="inlineStr">
        <is>
          <t>Y</t>
        </is>
      </c>
      <c r="V11" s="21" t="inlineStr">
        <is>
          <t>Y</t>
        </is>
      </c>
      <c r="W11" s="21" t="inlineStr">
        <is>
          <t>Y</t>
        </is>
      </c>
    </row>
    <row r="12" ht="23.25" customHeight="1" s="15">
      <c r="A12" s="19" t="inlineStr">
        <is>
          <t>SYS-008</t>
        </is>
      </c>
      <c r="B12" s="19" t="inlineStr">
        <is>
          <t>Marketing Campaign Optimizer</t>
        </is>
      </c>
      <c r="C12" s="19" t="inlineStr">
        <is>
          <t>Automated segment targeting and channel selection</t>
        </is>
      </c>
      <c r="D12" s="19" t="inlineStr">
        <is>
          <t>DS-CUST-MASTER; DS-CAMPAIGN-HIST</t>
        </is>
      </c>
      <c r="E12" s="19" t="inlineStr">
        <is>
          <t>Y</t>
        </is>
      </c>
      <c r="F12" s="19" t="inlineStr">
        <is>
          <t>Y</t>
        </is>
      </c>
      <c r="G12" s="19" t="inlineStr">
        <is>
          <t>Low</t>
        </is>
      </c>
      <c r="H12" s="19" t="inlineStr">
        <is>
          <t>Marketing</t>
        </is>
      </c>
      <c r="I12" s="19" t="inlineStr">
        <is>
          <t>MLOps-Analytics</t>
        </is>
      </c>
      <c r="J12" s="19" t="inlineStr">
        <is>
          <t>(unassigned)</t>
        </is>
      </c>
      <c r="K12" s="19" t="inlineStr">
        <is>
          <t>unassigned</t>
        </is>
      </c>
      <c r="L12" s="19" t="inlineStr">
        <is>
          <t>On-Prem</t>
        </is>
      </c>
      <c r="M12" s="20" t="n">
        <v>46071</v>
      </c>
      <c r="N12" s="19" t="inlineStr">
        <is>
          <t>partial</t>
        </is>
      </c>
      <c r="O12" s="19" t="inlineStr">
        <is>
          <t>absent</t>
        </is>
      </c>
      <c r="P12" s="21" t="inlineStr">
        <is>
          <t>N</t>
        </is>
      </c>
      <c r="Q12" s="21" t="inlineStr">
        <is>
          <t>none</t>
        </is>
      </c>
      <c r="R12" s="21" t="inlineStr">
        <is>
          <t>N</t>
        </is>
      </c>
      <c r="S12" s="21" t="inlineStr">
        <is>
          <t>N</t>
        </is>
      </c>
      <c r="T12" s="21" t="inlineStr">
        <is>
          <t>N</t>
        </is>
      </c>
      <c r="U12" s="21" t="inlineStr">
        <is>
          <t>N</t>
        </is>
      </c>
      <c r="V12" s="21" t="inlineStr">
        <is>
          <t>N</t>
        </is>
      </c>
      <c r="W12" s="21" t="inlineStr">
        <is>
          <t>N</t>
        </is>
      </c>
    </row>
    <row r="13" ht="23.25" customHeight="1" s="15">
      <c r="A13" s="19" t="inlineStr">
        <is>
          <t>SYS-009</t>
        </is>
      </c>
      <c r="B13" s="19" t="inlineStr">
        <is>
          <t>Branch Cash Demand Forecast</t>
        </is>
      </c>
      <c r="C13" s="19" t="inlineStr">
        <is>
          <t>Forecasts ATM and branch cash replenishment needs</t>
        </is>
      </c>
      <c r="D13" s="19" t="inlineStr">
        <is>
          <t>DS-CASH-LOG; DS-CALENDAR; DS-MACRO-FEED</t>
        </is>
      </c>
      <c r="E13" s="19" t="inlineStr">
        <is>
          <t>N</t>
        </is>
      </c>
      <c r="F13" s="19" t="inlineStr">
        <is>
          <t>N</t>
        </is>
      </c>
      <c r="G13" s="19" t="inlineStr">
        <is>
          <t>Low</t>
        </is>
      </c>
      <c r="H13" s="19" t="inlineStr">
        <is>
          <t>Branch Operations</t>
        </is>
      </c>
      <c r="I13" s="19" t="inlineStr">
        <is>
          <t>MLOps-Analytics</t>
        </is>
      </c>
      <c r="J13" s="19" t="inlineStr">
        <is>
          <t>(ops planning lead)</t>
        </is>
      </c>
      <c r="K13" s="19" t="inlineStr">
        <is>
          <t>de_facto</t>
        </is>
      </c>
      <c r="L13" s="19" t="inlineStr">
        <is>
          <t>On-Prem</t>
        </is>
      </c>
      <c r="M13" s="20" t="n">
        <v>46103</v>
      </c>
      <c r="N13" s="19" t="inlineStr">
        <is>
          <t>complete</t>
        </is>
      </c>
      <c r="O13" s="19" t="inlineStr">
        <is>
          <t>present</t>
        </is>
      </c>
      <c r="P13" s="21" t="inlineStr">
        <is>
          <t>n/a</t>
        </is>
      </c>
      <c r="Q13" s="21" t="n"/>
      <c r="R13" s="21" t="inlineStr">
        <is>
          <t>Y</t>
        </is>
      </c>
      <c r="S13" s="21" t="inlineStr">
        <is>
          <t>Y</t>
        </is>
      </c>
      <c r="T13" s="21" t="inlineStr">
        <is>
          <t>n/a</t>
        </is>
      </c>
      <c r="U13" s="21" t="inlineStr">
        <is>
          <t>Y</t>
        </is>
      </c>
      <c r="V13" s="21" t="inlineStr">
        <is>
          <t>n/a</t>
        </is>
      </c>
      <c r="W13" s="21" t="inlineStr">
        <is>
          <t>Y</t>
        </is>
      </c>
    </row>
    <row r="14" ht="23.25" customHeight="1" s="15">
      <c r="A14" s="19" t="inlineStr">
        <is>
          <t>SYS-010</t>
        </is>
      </c>
      <c r="B14" s="19" t="inlineStr">
        <is>
          <t>Call Centre Speech Analytics</t>
        </is>
      </c>
      <c r="C14" s="19" t="inlineStr">
        <is>
          <t>Sentiment and compliance-keyword detection on recorded calls</t>
        </is>
      </c>
      <c r="D14" s="19" t="inlineStr">
        <is>
          <t>DS-CALL-REC; DS-CUST-MASTER</t>
        </is>
      </c>
      <c r="E14" s="19" t="inlineStr">
        <is>
          <t>N</t>
        </is>
      </c>
      <c r="F14" s="19" t="inlineStr">
        <is>
          <t>Y</t>
        </is>
      </c>
      <c r="G14" s="19" t="inlineStr">
        <is>
          <t>Medium</t>
        </is>
      </c>
      <c r="H14" s="19" t="inlineStr">
        <is>
          <t>Customer Experience</t>
        </is>
      </c>
      <c r="I14" s="19" t="inlineStr">
        <is>
          <t>MLOps-ConvAI</t>
        </is>
      </c>
      <c r="J14" s="19" t="inlineStr">
        <is>
          <t>(unassigned)</t>
        </is>
      </c>
      <c r="K14" s="19" t="inlineStr">
        <is>
          <t>unassigned</t>
        </is>
      </c>
      <c r="L14" s="19" t="inlineStr">
        <is>
          <t>On-Prem</t>
        </is>
      </c>
      <c r="M14" s="20" t="n">
        <v>45996</v>
      </c>
      <c r="N14" s="19" t="inlineStr">
        <is>
          <t>absent</t>
        </is>
      </c>
      <c r="O14" s="19" t="inlineStr">
        <is>
          <t>absent</t>
        </is>
      </c>
      <c r="P14" s="21" t="inlineStr">
        <is>
          <t>N</t>
        </is>
      </c>
      <c r="Q14" s="21" t="n"/>
      <c r="R14" s="21" t="inlineStr">
        <is>
          <t>N</t>
        </is>
      </c>
      <c r="S14" s="21" t="inlineStr">
        <is>
          <t>N</t>
        </is>
      </c>
      <c r="T14" s="21" t="inlineStr">
        <is>
          <t>n/a</t>
        </is>
      </c>
      <c r="U14" s="21" t="inlineStr">
        <is>
          <t>N</t>
        </is>
      </c>
      <c r="V14" s="21" t="inlineStr">
        <is>
          <t>N</t>
        </is>
      </c>
      <c r="W14" s="21" t="inlineStr">
        <is>
          <t>N</t>
        </is>
      </c>
    </row>
    <row r="15" ht="23.25" customHeight="1" s="15">
      <c r="A15" s="19" t="inlineStr">
        <is>
          <t>SYS-011</t>
        </is>
      </c>
      <c r="B15" s="19" t="inlineStr">
        <is>
          <t>Collections Prioritisation</t>
        </is>
      </c>
      <c r="C15" s="19" t="inlineStr">
        <is>
          <t>Automatically prioritises overdue accounts for contact</t>
        </is>
      </c>
      <c r="D15" s="19" t="inlineStr">
        <is>
          <t>DS-TXN-CORE; DS-CUST-MASTER; DS-COLLECTION-LOG</t>
        </is>
      </c>
      <c r="E15" s="19" t="inlineStr">
        <is>
          <t>Y</t>
        </is>
      </c>
      <c r="F15" s="19" t="inlineStr">
        <is>
          <t>Y</t>
        </is>
      </c>
      <c r="G15" s="19" t="inlineStr">
        <is>
          <t>High</t>
        </is>
      </c>
      <c r="H15" s="19" t="inlineStr">
        <is>
          <t>Collections</t>
        </is>
      </c>
      <c r="I15" s="19" t="inlineStr">
        <is>
          <t>MLOps-Risk</t>
        </is>
      </c>
      <c r="J15" s="19" t="inlineStr">
        <is>
          <t>(collections lead)</t>
        </is>
      </c>
      <c r="K15" s="19" t="inlineStr">
        <is>
          <t>de_facto</t>
        </is>
      </c>
      <c r="L15" s="19" t="inlineStr">
        <is>
          <t>On-Prem</t>
        </is>
      </c>
      <c r="M15" s="20" t="n">
        <v>46052</v>
      </c>
      <c r="N15" s="19" t="inlineStr">
        <is>
          <t>partial</t>
        </is>
      </c>
      <c r="O15" s="19" t="inlineStr">
        <is>
          <t>present</t>
        </is>
      </c>
      <c r="P15" s="21" t="inlineStr">
        <is>
          <t>Y</t>
        </is>
      </c>
      <c r="Q15" s="21" t="inlineStr">
        <is>
          <t>none</t>
        </is>
      </c>
      <c r="R15" s="21" t="inlineStr">
        <is>
          <t>Y</t>
        </is>
      </c>
      <c r="S15" s="21" t="inlineStr">
        <is>
          <t>Y</t>
        </is>
      </c>
      <c r="T15" s="21" t="inlineStr">
        <is>
          <t>N</t>
        </is>
      </c>
      <c r="U15" s="21" t="inlineStr">
        <is>
          <t>Y</t>
        </is>
      </c>
      <c r="V15" s="21" t="inlineStr">
        <is>
          <t>N</t>
        </is>
      </c>
      <c r="W15" s="21" t="inlineStr">
        <is>
          <t>Y</t>
        </is>
      </c>
    </row>
    <row r="16" ht="23.25" customHeight="1" s="15">
      <c r="A16" s="19" t="inlineStr">
        <is>
          <t>SYS-012</t>
        </is>
      </c>
      <c r="B16" s="19" t="inlineStr">
        <is>
          <t>HR CV Screening</t>
        </is>
      </c>
      <c r="C16" s="19" t="inlineStr">
        <is>
          <t>Ranks job applicants against role requirements</t>
        </is>
      </c>
      <c r="D16" s="19" t="inlineStr">
        <is>
          <t>DS-HR-APPLICANT</t>
        </is>
      </c>
      <c r="E16" s="19" t="inlineStr">
        <is>
          <t>Y</t>
        </is>
      </c>
      <c r="F16" s="19" t="inlineStr">
        <is>
          <t>Y</t>
        </is>
      </c>
      <c r="G16" s="19" t="inlineStr">
        <is>
          <t>High</t>
        </is>
      </c>
      <c r="H16" s="19" t="inlineStr">
        <is>
          <t>Human Resources</t>
        </is>
      </c>
      <c r="I16" s="19" t="inlineStr">
        <is>
          <t>MLOps-Analytics</t>
        </is>
      </c>
      <c r="J16" s="19" t="inlineStr">
        <is>
          <t>(unassigned)</t>
        </is>
      </c>
      <c r="K16" s="19" t="inlineStr">
        <is>
          <t>unassigned</t>
        </is>
      </c>
      <c r="L16" s="19" t="inlineStr">
        <is>
          <t>On-Prem</t>
        </is>
      </c>
      <c r="M16" s="20" t="n">
        <v>45884</v>
      </c>
      <c r="N16" s="19" t="inlineStr">
        <is>
          <t>absent</t>
        </is>
      </c>
      <c r="O16" s="19" t="inlineStr">
        <is>
          <t>absent</t>
        </is>
      </c>
      <c r="P16" s="21" t="inlineStr">
        <is>
          <t>N</t>
        </is>
      </c>
      <c r="Q16" s="21" t="inlineStr">
        <is>
          <t>none</t>
        </is>
      </c>
      <c r="R16" s="21" t="inlineStr">
        <is>
          <t>N</t>
        </is>
      </c>
      <c r="S16" s="21" t="inlineStr">
        <is>
          <t>N</t>
        </is>
      </c>
      <c r="T16" s="21" t="inlineStr">
        <is>
          <t>N</t>
        </is>
      </c>
      <c r="U16" s="21" t="inlineStr">
        <is>
          <t>N</t>
        </is>
      </c>
      <c r="V16" s="21" t="inlineStr">
        <is>
          <t>N</t>
        </is>
      </c>
      <c r="W16" s="21" t="inlineStr">
        <is>
          <t>N</t>
        </is>
      </c>
    </row>
  </sheetData>
  <mergeCells count="2">
    <mergeCell ref="A1:O1"/>
    <mergeCell ref="A2:O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14" min="1" max="1"/>
    <col width="26" customWidth="1" style="14" min="2" max="2"/>
    <col width="16" customWidth="1" style="14" min="3" max="3"/>
    <col width="13" customWidth="1" style="14" min="4" max="4"/>
    <col width="11" customWidth="1" style="14" min="5" max="5"/>
    <col width="18" customWidth="1" style="14" min="6" max="6"/>
    <col width="34" customWidth="1" style="14" min="7" max="7"/>
  </cols>
  <sheetData>
    <row r="1" ht="15.75" customHeight="1" s="15">
      <c r="A1" s="16" t="inlineStr">
        <is>
          <t>Data Sources</t>
        </is>
      </c>
    </row>
    <row r="3" ht="23.25" customHeight="1" s="15">
      <c r="A3" s="18" t="inlineStr">
        <is>
          <t>Source_ID</t>
        </is>
      </c>
      <c r="B3" s="18" t="inlineStr">
        <is>
          <t>Source_Name</t>
        </is>
      </c>
      <c r="C3" s="18" t="inlineStr">
        <is>
          <t>Source_Type</t>
        </is>
      </c>
      <c r="D3" s="18" t="inlineStr">
        <is>
          <t>Contains_Personal_Data</t>
        </is>
      </c>
      <c r="E3" s="18" t="inlineStr">
        <is>
          <t>DQ_Regime</t>
        </is>
      </c>
      <c r="F3" s="18" t="inlineStr">
        <is>
          <t>Source_Owner</t>
        </is>
      </c>
      <c r="G3" s="18" t="inlineStr">
        <is>
          <t>Notes</t>
        </is>
      </c>
    </row>
    <row r="4" ht="23.25" customHeight="1" s="15">
      <c r="A4" s="19" t="inlineStr">
        <is>
          <t>DS-CUST-MASTER</t>
        </is>
      </c>
      <c r="B4" s="19" t="inlineStr">
        <is>
          <t>Customer Master</t>
        </is>
      </c>
      <c r="C4" s="19" t="inlineStr">
        <is>
          <t>Internal DB</t>
        </is>
      </c>
      <c r="D4" s="19" t="inlineStr">
        <is>
          <t>Y</t>
        </is>
      </c>
      <c r="E4" s="19" t="inlineStr">
        <is>
          <t>present</t>
        </is>
      </c>
      <c r="F4" s="19" t="inlineStr">
        <is>
          <t>Data Management</t>
        </is>
      </c>
      <c r="G4" s="19" t="inlineStr">
        <is>
          <t>Golden customer record; KVKK personal data.</t>
        </is>
      </c>
    </row>
    <row r="5" ht="23.25" customHeight="1" s="15">
      <c r="A5" s="19" t="inlineStr">
        <is>
          <t>DS-CREDIT-BUREAU</t>
        </is>
      </c>
      <c r="B5" s="19" t="inlineStr">
        <is>
          <t>Credit Bureau Feed</t>
        </is>
      </c>
      <c r="C5" s="19" t="inlineStr">
        <is>
          <t>External API</t>
        </is>
      </c>
      <c r="D5" s="19" t="inlineStr">
        <is>
          <t>Y</t>
        </is>
      </c>
      <c r="E5" s="19" t="inlineStr">
        <is>
          <t>present</t>
        </is>
      </c>
      <c r="F5" s="19" t="inlineStr">
        <is>
          <t>Risk Management</t>
        </is>
      </c>
      <c r="G5" s="19" t="inlineStr">
        <is>
          <t>Third-party bureau; contractual DQ terms.</t>
        </is>
      </c>
    </row>
    <row r="6" ht="15" customHeight="1" s="15">
      <c r="A6" s="19" t="inlineStr">
        <is>
          <t>DS-TXN-CORE</t>
        </is>
      </c>
      <c r="B6" s="19" t="inlineStr">
        <is>
          <t>Core Banking Transactions</t>
        </is>
      </c>
      <c r="C6" s="19" t="inlineStr">
        <is>
          <t>Internal DB</t>
        </is>
      </c>
      <c r="D6" s="19" t="inlineStr">
        <is>
          <t>Y</t>
        </is>
      </c>
      <c r="E6" s="19" t="inlineStr">
        <is>
          <t>present</t>
        </is>
      </c>
      <c r="F6" s="19" t="inlineStr">
        <is>
          <t>Core Banking</t>
        </is>
      </c>
      <c r="G6" s="19" t="inlineStr">
        <is>
          <t>Account and transaction ledger.</t>
        </is>
      </c>
    </row>
    <row r="7" ht="15" customHeight="1" s="15">
      <c r="A7" s="19" t="inlineStr">
        <is>
          <t>DS-CARD-AUTH</t>
        </is>
      </c>
      <c r="B7" s="19" t="inlineStr">
        <is>
          <t>Card Authorisation Stream</t>
        </is>
      </c>
      <c r="C7" s="19" t="inlineStr">
        <is>
          <t>Streaming</t>
        </is>
      </c>
      <c r="D7" s="19" t="inlineStr">
        <is>
          <t>Y</t>
        </is>
      </c>
      <c r="E7" s="19" t="inlineStr">
        <is>
          <t>present</t>
        </is>
      </c>
      <c r="F7" s="19" t="inlineStr">
        <is>
          <t>Cards &amp; Payments</t>
        </is>
      </c>
      <c r="G7" s="19" t="inlineStr">
        <is>
          <t>Real-time auth events.</t>
        </is>
      </c>
    </row>
    <row r="8" ht="23.25" customHeight="1" s="15">
      <c r="A8" s="19" t="inlineStr">
        <is>
          <t>DS-DEVICE-FP</t>
        </is>
      </c>
      <c r="B8" s="19" t="inlineStr">
        <is>
          <t>Device Fingerprint Store</t>
        </is>
      </c>
      <c r="C8" s="19" t="inlineStr">
        <is>
          <t>Internal DB</t>
        </is>
      </c>
      <c r="D8" s="19" t="inlineStr">
        <is>
          <t>Y</t>
        </is>
      </c>
      <c r="E8" s="19" t="inlineStr">
        <is>
          <t>absent</t>
        </is>
      </c>
      <c r="F8" s="19" t="inlineStr">
        <is>
          <t>Fraud Ops</t>
        </is>
      </c>
      <c r="G8" s="19" t="inlineStr">
        <is>
          <t>Device/session signals; no formal DQ regime.</t>
        </is>
      </c>
    </row>
    <row r="9" ht="23.25" customHeight="1" s="15">
      <c r="A9" s="19" t="inlineStr">
        <is>
          <t>DS-SANCTIONS-API</t>
        </is>
      </c>
      <c r="B9" s="19" t="inlineStr">
        <is>
          <t>Sanctions &amp; Watchlist API</t>
        </is>
      </c>
      <c r="C9" s="19" t="inlineStr">
        <is>
          <t>External API</t>
        </is>
      </c>
      <c r="D9" s="19" t="inlineStr">
        <is>
          <t>Y</t>
        </is>
      </c>
      <c r="E9" s="19" t="inlineStr">
        <is>
          <t>present</t>
        </is>
      </c>
      <c r="F9" s="19" t="inlineStr">
        <is>
          <t>Compliance / AML</t>
        </is>
      </c>
      <c r="G9" s="19" t="inlineStr">
        <is>
          <t>Externally maintained lists.</t>
        </is>
      </c>
    </row>
    <row r="10" ht="15" customHeight="1" s="15">
      <c r="A10" s="19" t="inlineStr">
        <is>
          <t>DS-DOC-SCAN</t>
        </is>
      </c>
      <c r="B10" s="19" t="inlineStr">
        <is>
          <t>Onboarding Document Store</t>
        </is>
      </c>
      <c r="C10" s="19" t="inlineStr">
        <is>
          <t>Document Store</t>
        </is>
      </c>
      <c r="D10" s="19" t="inlineStr">
        <is>
          <t>Y</t>
        </is>
      </c>
      <c r="E10" s="19" t="inlineStr">
        <is>
          <t>present</t>
        </is>
      </c>
      <c r="F10" s="19" t="inlineStr">
        <is>
          <t>Onboarding</t>
        </is>
      </c>
      <c r="G10" s="19" t="inlineStr">
        <is>
          <t>Scanned IDs and forms.</t>
        </is>
      </c>
    </row>
    <row r="11" ht="15" customHeight="1" s="15">
      <c r="A11" s="19" t="inlineStr">
        <is>
          <t>DS-FAQ-KB</t>
        </is>
      </c>
      <c r="B11" s="19" t="inlineStr">
        <is>
          <t>Banking FAQ Knowledge Base</t>
        </is>
      </c>
      <c r="C11" s="19" t="inlineStr">
        <is>
          <t>Document Store</t>
        </is>
      </c>
      <c r="D11" s="19" t="inlineStr">
        <is>
          <t>N</t>
        </is>
      </c>
      <c r="E11" s="19" t="inlineStr">
        <is>
          <t>absent</t>
        </is>
      </c>
      <c r="F11" s="19" t="inlineStr">
        <is>
          <t>Customer Experience</t>
        </is>
      </c>
      <c r="G11" s="19" t="inlineStr">
        <is>
          <t>Curated FAQ content; no DQ SLA.</t>
        </is>
      </c>
    </row>
    <row r="12" ht="34.5" customHeight="1" s="15">
      <c r="A12" s="19" t="inlineStr">
        <is>
          <t>DS-INTERACTION-LOG</t>
        </is>
      </c>
      <c r="B12" s="19" t="inlineStr">
        <is>
          <t>Customer Interaction Log</t>
        </is>
      </c>
      <c r="C12" s="19" t="inlineStr">
        <is>
          <t>Internal DB</t>
        </is>
      </c>
      <c r="D12" s="19" t="inlineStr">
        <is>
          <t>Y</t>
        </is>
      </c>
      <c r="E12" s="19" t="inlineStr">
        <is>
          <t>absent</t>
        </is>
      </c>
      <c r="F12" s="19" t="inlineStr">
        <is>
          <t>Customer Experience</t>
        </is>
      </c>
      <c r="G12" s="19" t="inlineStr">
        <is>
          <t>Contact history; ad-hoc quality.</t>
        </is>
      </c>
    </row>
    <row r="13" ht="15" customHeight="1" s="15">
      <c r="A13" s="19" t="inlineStr">
        <is>
          <t>DS-MACRO-FEED</t>
        </is>
      </c>
      <c r="B13" s="19" t="inlineStr">
        <is>
          <t>Macroeconomic Indicators</t>
        </is>
      </c>
      <c r="C13" s="19" t="inlineStr">
        <is>
          <t>External API</t>
        </is>
      </c>
      <c r="D13" s="19" t="inlineStr">
        <is>
          <t>N</t>
        </is>
      </c>
      <c r="E13" s="19" t="inlineStr">
        <is>
          <t>present</t>
        </is>
      </c>
      <c r="F13" s="19" t="inlineStr">
        <is>
          <t>Risk Management</t>
        </is>
      </c>
      <c r="G13" s="19" t="inlineStr">
        <is>
          <t>Rates, indices.</t>
        </is>
      </c>
    </row>
    <row r="14" ht="23.25" customHeight="1" s="15">
      <c r="A14" s="19" t="inlineStr">
        <is>
          <t>DS-CAMPAIGN-HIST</t>
        </is>
      </c>
      <c r="B14" s="19" t="inlineStr">
        <is>
          <t>Campaign History</t>
        </is>
      </c>
      <c r="C14" s="19" t="inlineStr">
        <is>
          <t>Internal DB</t>
        </is>
      </c>
      <c r="D14" s="19" t="inlineStr">
        <is>
          <t>Y</t>
        </is>
      </c>
      <c r="E14" s="19" t="inlineStr">
        <is>
          <t>absent</t>
        </is>
      </c>
      <c r="F14" s="19" t="inlineStr">
        <is>
          <t>Marketing</t>
        </is>
      </c>
      <c r="G14" s="19" t="inlineStr">
        <is>
          <t>Past campaign responses.</t>
        </is>
      </c>
    </row>
    <row r="15" ht="15" customHeight="1" s="15">
      <c r="A15" s="19" t="inlineStr">
        <is>
          <t>DS-CASH-LOG</t>
        </is>
      </c>
      <c r="B15" s="19" t="inlineStr">
        <is>
          <t>ATM / Branch Cash Log</t>
        </is>
      </c>
      <c r="C15" s="19" t="inlineStr">
        <is>
          <t>Internal DB</t>
        </is>
      </c>
      <c r="D15" s="19" t="inlineStr">
        <is>
          <t>N</t>
        </is>
      </c>
      <c r="E15" s="19" t="inlineStr">
        <is>
          <t>present</t>
        </is>
      </c>
      <c r="F15" s="19" t="inlineStr">
        <is>
          <t>Branch Operations</t>
        </is>
      </c>
      <c r="G15" s="19" t="inlineStr">
        <is>
          <t>Cash movement records.</t>
        </is>
      </c>
    </row>
    <row r="16" ht="15" customHeight="1" s="15">
      <c r="A16" s="19" t="inlineStr">
        <is>
          <t>DS-CALENDAR</t>
        </is>
      </c>
      <c r="B16" s="19" t="inlineStr">
        <is>
          <t>Business Calendar</t>
        </is>
      </c>
      <c r="C16" s="19" t="inlineStr">
        <is>
          <t>File Feed</t>
        </is>
      </c>
      <c r="D16" s="19" t="inlineStr">
        <is>
          <t>N</t>
        </is>
      </c>
      <c r="E16" s="19" t="inlineStr">
        <is>
          <t>present</t>
        </is>
      </c>
      <c r="F16" s="19" t="inlineStr">
        <is>
          <t>Branch Operations</t>
        </is>
      </c>
      <c r="G16" s="19" t="inlineStr">
        <is>
          <t>Holidays, paydays.</t>
        </is>
      </c>
    </row>
    <row r="17" ht="15" customHeight="1" s="15">
      <c r="A17" s="19" t="inlineStr">
        <is>
          <t>DS-CALL-REC</t>
        </is>
      </c>
      <c r="B17" s="19" t="inlineStr">
        <is>
          <t>Call Recordings</t>
        </is>
      </c>
      <c r="C17" s="19" t="inlineStr">
        <is>
          <t>Document Store</t>
        </is>
      </c>
      <c r="D17" s="19" t="inlineStr">
        <is>
          <t>Y</t>
        </is>
      </c>
      <c r="E17" s="19" t="inlineStr">
        <is>
          <t>absent</t>
        </is>
      </c>
      <c r="F17" s="19" t="inlineStr">
        <is>
          <t>Customer Experience</t>
        </is>
      </c>
      <c r="G17" s="19" t="inlineStr">
        <is>
          <t>Voice recordings; no structured DQ.</t>
        </is>
      </c>
    </row>
    <row r="18" ht="23.25" customHeight="1" s="15">
      <c r="A18" s="19" t="inlineStr">
        <is>
          <t>DS-COLLECTION-LOG</t>
        </is>
      </c>
      <c r="B18" s="19" t="inlineStr">
        <is>
          <t>Collections Activity Log</t>
        </is>
      </c>
      <c r="C18" s="19" t="inlineStr">
        <is>
          <t>Internal DB</t>
        </is>
      </c>
      <c r="D18" s="19" t="inlineStr">
        <is>
          <t>Y</t>
        </is>
      </c>
      <c r="E18" s="19" t="inlineStr">
        <is>
          <t>absent</t>
        </is>
      </c>
      <c r="F18" s="19" t="inlineStr">
        <is>
          <t>Collections</t>
        </is>
      </c>
      <c r="G18" s="19" t="inlineStr">
        <is>
          <t>Contact and promise-to-pay records.</t>
        </is>
      </c>
    </row>
    <row r="19" ht="23.25" customHeight="1" s="15">
      <c r="A19" s="19" t="inlineStr">
        <is>
          <t>DS-HR-APPLICANT</t>
        </is>
      </c>
      <c r="B19" s="19" t="inlineStr">
        <is>
          <t>HR Applicant Database</t>
        </is>
      </c>
      <c r="C19" s="19" t="inlineStr">
        <is>
          <t>Internal DB</t>
        </is>
      </c>
      <c r="D19" s="19" t="inlineStr">
        <is>
          <t>Y</t>
        </is>
      </c>
      <c r="E19" s="19" t="inlineStr">
        <is>
          <t>absent</t>
        </is>
      </c>
      <c r="F19" s="19" t="inlineStr">
        <is>
          <t>Human Resources</t>
        </is>
      </c>
      <c r="G19" s="19" t="inlineStr">
        <is>
          <t>CVs and applications; no DQ regime.</t>
        </is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4" min="1" max="1"/>
    <col width="18" customWidth="1" style="14" min="2" max="3"/>
    <col width="12" customWidth="1" style="14" min="4" max="4"/>
    <col width="13" customWidth="1" style="14" min="5" max="6"/>
  </cols>
  <sheetData>
    <row r="1" ht="15.75" customHeight="1" s="15">
      <c r="A1" s="16" t="inlineStr">
        <is>
          <t>Structural Lineage Edge List  (source → system → consumer)</t>
        </is>
      </c>
    </row>
    <row r="2" ht="15" customHeight="1" s="15">
      <c r="A2" s="17" t="inlineStr">
        <is>
          <t>Source→system edges derived from Data_Inputs. SYS-010 and SYS-012 have no documented consumer edge — reflected as Lineage_Status = absent.</t>
        </is>
      </c>
    </row>
    <row r="4" ht="15" customHeight="1" s="15">
      <c r="A4" s="18" t="inlineStr">
        <is>
          <t>Edge_ID</t>
        </is>
      </c>
      <c r="B4" s="18" t="inlineStr">
        <is>
          <t>From_Node</t>
        </is>
      </c>
      <c r="C4" s="18" t="inlineStr">
        <is>
          <t>To_Node</t>
        </is>
      </c>
      <c r="D4" s="18" t="inlineStr">
        <is>
          <t>Edge_Type</t>
        </is>
      </c>
      <c r="E4" s="18" t="inlineStr">
        <is>
          <t>From_Type</t>
        </is>
      </c>
      <c r="F4" s="18" t="inlineStr">
        <is>
          <t>To_Type</t>
        </is>
      </c>
    </row>
    <row r="5" ht="15" customHeight="1" s="15">
      <c r="A5" s="19" t="inlineStr">
        <is>
          <t>E001</t>
        </is>
      </c>
      <c r="B5" s="19" t="inlineStr">
        <is>
          <t>DS-CUST-MASTER</t>
        </is>
      </c>
      <c r="C5" s="19" t="inlineStr">
        <is>
          <t>SYS-001</t>
        </is>
      </c>
      <c r="D5" s="19" t="inlineStr">
        <is>
          <t>feeds</t>
        </is>
      </c>
      <c r="E5" s="19" t="inlineStr">
        <is>
          <t>data_source</t>
        </is>
      </c>
      <c r="F5" s="19" t="inlineStr">
        <is>
          <t>ai_system</t>
        </is>
      </c>
    </row>
    <row r="6" ht="23.25" customHeight="1" s="15">
      <c r="A6" s="19" t="inlineStr">
        <is>
          <t>E002</t>
        </is>
      </c>
      <c r="B6" s="19" t="inlineStr">
        <is>
          <t>DS-CREDIT-BUREAU</t>
        </is>
      </c>
      <c r="C6" s="19" t="inlineStr">
        <is>
          <t>SYS-001</t>
        </is>
      </c>
      <c r="D6" s="19" t="inlineStr">
        <is>
          <t>feeds</t>
        </is>
      </c>
      <c r="E6" s="19" t="inlineStr">
        <is>
          <t>data_source</t>
        </is>
      </c>
      <c r="F6" s="19" t="inlineStr">
        <is>
          <t>ai_system</t>
        </is>
      </c>
    </row>
    <row r="7" ht="15" customHeight="1" s="15">
      <c r="A7" s="19" t="inlineStr">
        <is>
          <t>E003</t>
        </is>
      </c>
      <c r="B7" s="19" t="inlineStr">
        <is>
          <t>DS-TXN-CORE</t>
        </is>
      </c>
      <c r="C7" s="19" t="inlineStr">
        <is>
          <t>SYS-001</t>
        </is>
      </c>
      <c r="D7" s="19" t="inlineStr">
        <is>
          <t>feeds</t>
        </is>
      </c>
      <c r="E7" s="19" t="inlineStr">
        <is>
          <t>data_source</t>
        </is>
      </c>
      <c r="F7" s="19" t="inlineStr">
        <is>
          <t>ai_system</t>
        </is>
      </c>
    </row>
    <row r="8" ht="15" customHeight="1" s="15">
      <c r="A8" s="19" t="inlineStr">
        <is>
          <t>E004</t>
        </is>
      </c>
      <c r="B8" s="19" t="inlineStr">
        <is>
          <t>DS-CARD-AUTH</t>
        </is>
      </c>
      <c r="C8" s="19" t="inlineStr">
        <is>
          <t>SYS-002</t>
        </is>
      </c>
      <c r="D8" s="19" t="inlineStr">
        <is>
          <t>feeds</t>
        </is>
      </c>
      <c r="E8" s="19" t="inlineStr">
        <is>
          <t>data_source</t>
        </is>
      </c>
      <c r="F8" s="19" t="inlineStr">
        <is>
          <t>ai_system</t>
        </is>
      </c>
    </row>
    <row r="9" ht="15" customHeight="1" s="15">
      <c r="A9" s="19" t="inlineStr">
        <is>
          <t>E005</t>
        </is>
      </c>
      <c r="B9" s="19" t="inlineStr">
        <is>
          <t>DS-TXN-CORE</t>
        </is>
      </c>
      <c r="C9" s="19" t="inlineStr">
        <is>
          <t>SYS-002</t>
        </is>
      </c>
      <c r="D9" s="19" t="inlineStr">
        <is>
          <t>feeds</t>
        </is>
      </c>
      <c r="E9" s="19" t="inlineStr">
        <is>
          <t>data_source</t>
        </is>
      </c>
      <c r="F9" s="19" t="inlineStr">
        <is>
          <t>ai_system</t>
        </is>
      </c>
    </row>
    <row r="10" ht="15" customHeight="1" s="15">
      <c r="A10" s="19" t="inlineStr">
        <is>
          <t>E006</t>
        </is>
      </c>
      <c r="B10" s="19" t="inlineStr">
        <is>
          <t>DS-DEVICE-FP</t>
        </is>
      </c>
      <c r="C10" s="19" t="inlineStr">
        <is>
          <t>SYS-002</t>
        </is>
      </c>
      <c r="D10" s="19" t="inlineStr">
        <is>
          <t>feeds</t>
        </is>
      </c>
      <c r="E10" s="19" t="inlineStr">
        <is>
          <t>data_source</t>
        </is>
      </c>
      <c r="F10" s="19" t="inlineStr">
        <is>
          <t>ai_system</t>
        </is>
      </c>
    </row>
    <row r="11" ht="15" customHeight="1" s="15">
      <c r="A11" s="19" t="inlineStr">
        <is>
          <t>E007</t>
        </is>
      </c>
      <c r="B11" s="19" t="inlineStr">
        <is>
          <t>DS-TXN-CORE</t>
        </is>
      </c>
      <c r="C11" s="19" t="inlineStr">
        <is>
          <t>SYS-003</t>
        </is>
      </c>
      <c r="D11" s="19" t="inlineStr">
        <is>
          <t>feeds</t>
        </is>
      </c>
      <c r="E11" s="19" t="inlineStr">
        <is>
          <t>data_source</t>
        </is>
      </c>
      <c r="F11" s="19" t="inlineStr">
        <is>
          <t>ai_system</t>
        </is>
      </c>
    </row>
    <row r="12" ht="15" customHeight="1" s="15">
      <c r="A12" s="19" t="inlineStr">
        <is>
          <t>E008</t>
        </is>
      </c>
      <c r="B12" s="19" t="inlineStr">
        <is>
          <t>DS-CUST-MASTER</t>
        </is>
      </c>
      <c r="C12" s="19" t="inlineStr">
        <is>
          <t>SYS-003</t>
        </is>
      </c>
      <c r="D12" s="19" t="inlineStr">
        <is>
          <t>feeds</t>
        </is>
      </c>
      <c r="E12" s="19" t="inlineStr">
        <is>
          <t>data_source</t>
        </is>
      </c>
      <c r="F12" s="19" t="inlineStr">
        <is>
          <t>ai_system</t>
        </is>
      </c>
    </row>
    <row r="13" ht="15" customHeight="1" s="15">
      <c r="A13" s="19" t="inlineStr">
        <is>
          <t>E009</t>
        </is>
      </c>
      <c r="B13" s="19" t="inlineStr">
        <is>
          <t>DS-SANCTIONS-API</t>
        </is>
      </c>
      <c r="C13" s="19" t="inlineStr">
        <is>
          <t>SYS-003</t>
        </is>
      </c>
      <c r="D13" s="19" t="inlineStr">
        <is>
          <t>feeds</t>
        </is>
      </c>
      <c r="E13" s="19" t="inlineStr">
        <is>
          <t>data_source</t>
        </is>
      </c>
      <c r="F13" s="19" t="inlineStr">
        <is>
          <t>ai_system</t>
        </is>
      </c>
    </row>
    <row r="14" ht="15" customHeight="1" s="15">
      <c r="A14" s="19" t="inlineStr">
        <is>
          <t>E010</t>
        </is>
      </c>
      <c r="B14" s="19" t="inlineStr">
        <is>
          <t>DS-DOC-SCAN</t>
        </is>
      </c>
      <c r="C14" s="19" t="inlineStr">
        <is>
          <t>SYS-004</t>
        </is>
      </c>
      <c r="D14" s="19" t="inlineStr">
        <is>
          <t>feeds</t>
        </is>
      </c>
      <c r="E14" s="19" t="inlineStr">
        <is>
          <t>data_source</t>
        </is>
      </c>
      <c r="F14" s="19" t="inlineStr">
        <is>
          <t>ai_system</t>
        </is>
      </c>
    </row>
    <row r="15" ht="15" customHeight="1" s="15">
      <c r="A15" s="19" t="inlineStr">
        <is>
          <t>E011</t>
        </is>
      </c>
      <c r="B15" s="19" t="inlineStr">
        <is>
          <t>DS-FAQ-KB</t>
        </is>
      </c>
      <c r="C15" s="19" t="inlineStr">
        <is>
          <t>SYS-005</t>
        </is>
      </c>
      <c r="D15" s="19" t="inlineStr">
        <is>
          <t>feeds</t>
        </is>
      </c>
      <c r="E15" s="19" t="inlineStr">
        <is>
          <t>data_source</t>
        </is>
      </c>
      <c r="F15" s="19" t="inlineStr">
        <is>
          <t>ai_system</t>
        </is>
      </c>
    </row>
    <row r="16" ht="15" customHeight="1" s="15">
      <c r="A16" s="19" t="inlineStr">
        <is>
          <t>E012</t>
        </is>
      </c>
      <c r="B16" s="19" t="inlineStr">
        <is>
          <t>DS-CUST-MASTER</t>
        </is>
      </c>
      <c r="C16" s="19" t="inlineStr">
        <is>
          <t>SYS-005</t>
        </is>
      </c>
      <c r="D16" s="19" t="inlineStr">
        <is>
          <t>feeds</t>
        </is>
      </c>
      <c r="E16" s="19" t="inlineStr">
        <is>
          <t>data_source</t>
        </is>
      </c>
      <c r="F16" s="19" t="inlineStr">
        <is>
          <t>ai_system</t>
        </is>
      </c>
    </row>
    <row r="17" ht="15" customHeight="1" s="15">
      <c r="A17" s="19" t="inlineStr">
        <is>
          <t>E013</t>
        </is>
      </c>
      <c r="B17" s="19" t="inlineStr">
        <is>
          <t>DS-CUST-MASTER</t>
        </is>
      </c>
      <c r="C17" s="19" t="inlineStr">
        <is>
          <t>SYS-006</t>
        </is>
      </c>
      <c r="D17" s="19" t="inlineStr">
        <is>
          <t>feeds</t>
        </is>
      </c>
      <c r="E17" s="19" t="inlineStr">
        <is>
          <t>data_source</t>
        </is>
      </c>
      <c r="F17" s="19" t="inlineStr">
        <is>
          <t>ai_system</t>
        </is>
      </c>
    </row>
    <row r="18" ht="15" customHeight="1" s="15">
      <c r="A18" s="19" t="inlineStr">
        <is>
          <t>E014</t>
        </is>
      </c>
      <c r="B18" s="19" t="inlineStr">
        <is>
          <t>DS-TXN-CORE</t>
        </is>
      </c>
      <c r="C18" s="19" t="inlineStr">
        <is>
          <t>SYS-006</t>
        </is>
      </c>
      <c r="D18" s="19" t="inlineStr">
        <is>
          <t>feeds</t>
        </is>
      </c>
      <c r="E18" s="19" t="inlineStr">
        <is>
          <t>data_source</t>
        </is>
      </c>
      <c r="F18" s="19" t="inlineStr">
        <is>
          <t>ai_system</t>
        </is>
      </c>
    </row>
    <row r="19" ht="23.25" customHeight="1" s="15">
      <c r="A19" s="19" t="inlineStr">
        <is>
          <t>E015</t>
        </is>
      </c>
      <c r="B19" s="19" t="inlineStr">
        <is>
          <t>DS-INTERACTION-LOG</t>
        </is>
      </c>
      <c r="C19" s="19" t="inlineStr">
        <is>
          <t>SYS-006</t>
        </is>
      </c>
      <c r="D19" s="19" t="inlineStr">
        <is>
          <t>feeds</t>
        </is>
      </c>
      <c r="E19" s="19" t="inlineStr">
        <is>
          <t>data_source</t>
        </is>
      </c>
      <c r="F19" s="19" t="inlineStr">
        <is>
          <t>ai_system</t>
        </is>
      </c>
    </row>
    <row r="20" ht="15" customHeight="1" s="15">
      <c r="A20" s="19" t="inlineStr">
        <is>
          <t>E016</t>
        </is>
      </c>
      <c r="B20" s="19" t="inlineStr">
        <is>
          <t>DS-TXN-CORE</t>
        </is>
      </c>
      <c r="C20" s="19" t="inlineStr">
        <is>
          <t>SYS-007</t>
        </is>
      </c>
      <c r="D20" s="19" t="inlineStr">
        <is>
          <t>feeds</t>
        </is>
      </c>
      <c r="E20" s="19" t="inlineStr">
        <is>
          <t>data_source</t>
        </is>
      </c>
      <c r="F20" s="19" t="inlineStr">
        <is>
          <t>ai_system</t>
        </is>
      </c>
    </row>
    <row r="21" ht="23.25" customHeight="1" s="15">
      <c r="A21" s="19" t="inlineStr">
        <is>
          <t>E017</t>
        </is>
      </c>
      <c r="B21" s="19" t="inlineStr">
        <is>
          <t>DS-CREDIT-BUREAU</t>
        </is>
      </c>
      <c r="C21" s="19" t="inlineStr">
        <is>
          <t>SYS-007</t>
        </is>
      </c>
      <c r="D21" s="19" t="inlineStr">
        <is>
          <t>feeds</t>
        </is>
      </c>
      <c r="E21" s="19" t="inlineStr">
        <is>
          <t>data_source</t>
        </is>
      </c>
      <c r="F21" s="19" t="inlineStr">
        <is>
          <t>ai_system</t>
        </is>
      </c>
    </row>
    <row r="22" ht="15" customHeight="1" s="15">
      <c r="A22" s="19" t="inlineStr">
        <is>
          <t>E018</t>
        </is>
      </c>
      <c r="B22" s="19" t="inlineStr">
        <is>
          <t>DS-MACRO-FEED</t>
        </is>
      </c>
      <c r="C22" s="19" t="inlineStr">
        <is>
          <t>SYS-007</t>
        </is>
      </c>
      <c r="D22" s="19" t="inlineStr">
        <is>
          <t>feeds</t>
        </is>
      </c>
      <c r="E22" s="19" t="inlineStr">
        <is>
          <t>data_source</t>
        </is>
      </c>
      <c r="F22" s="19" t="inlineStr">
        <is>
          <t>ai_system</t>
        </is>
      </c>
    </row>
    <row r="23" ht="15" customHeight="1" s="15">
      <c r="A23" s="19" t="inlineStr">
        <is>
          <t>E019</t>
        </is>
      </c>
      <c r="B23" s="19" t="inlineStr">
        <is>
          <t>DS-CUST-MASTER</t>
        </is>
      </c>
      <c r="C23" s="19" t="inlineStr">
        <is>
          <t>SYS-008</t>
        </is>
      </c>
      <c r="D23" s="19" t="inlineStr">
        <is>
          <t>feeds</t>
        </is>
      </c>
      <c r="E23" s="19" t="inlineStr">
        <is>
          <t>data_source</t>
        </is>
      </c>
      <c r="F23" s="19" t="inlineStr">
        <is>
          <t>ai_system</t>
        </is>
      </c>
    </row>
    <row r="24" ht="15" customHeight="1" s="15">
      <c r="A24" s="19" t="inlineStr">
        <is>
          <t>E020</t>
        </is>
      </c>
      <c r="B24" s="19" t="inlineStr">
        <is>
          <t>DS-CAMPAIGN-HIST</t>
        </is>
      </c>
      <c r="C24" s="19" t="inlineStr">
        <is>
          <t>SYS-008</t>
        </is>
      </c>
      <c r="D24" s="19" t="inlineStr">
        <is>
          <t>feeds</t>
        </is>
      </c>
      <c r="E24" s="19" t="inlineStr">
        <is>
          <t>data_source</t>
        </is>
      </c>
      <c r="F24" s="19" t="inlineStr">
        <is>
          <t>ai_system</t>
        </is>
      </c>
    </row>
    <row r="25" ht="15" customHeight="1" s="15">
      <c r="A25" s="19" t="inlineStr">
        <is>
          <t>E021</t>
        </is>
      </c>
      <c r="B25" s="19" t="inlineStr">
        <is>
          <t>DS-CASH-LOG</t>
        </is>
      </c>
      <c r="C25" s="19" t="inlineStr">
        <is>
          <t>SYS-009</t>
        </is>
      </c>
      <c r="D25" s="19" t="inlineStr">
        <is>
          <t>feeds</t>
        </is>
      </c>
      <c r="E25" s="19" t="inlineStr">
        <is>
          <t>data_source</t>
        </is>
      </c>
      <c r="F25" s="19" t="inlineStr">
        <is>
          <t>ai_system</t>
        </is>
      </c>
    </row>
    <row r="26" ht="15" customHeight="1" s="15">
      <c r="A26" s="19" t="inlineStr">
        <is>
          <t>E022</t>
        </is>
      </c>
      <c r="B26" s="19" t="inlineStr">
        <is>
          <t>DS-CALENDAR</t>
        </is>
      </c>
      <c r="C26" s="19" t="inlineStr">
        <is>
          <t>SYS-009</t>
        </is>
      </c>
      <c r="D26" s="19" t="inlineStr">
        <is>
          <t>feeds</t>
        </is>
      </c>
      <c r="E26" s="19" t="inlineStr">
        <is>
          <t>data_source</t>
        </is>
      </c>
      <c r="F26" s="19" t="inlineStr">
        <is>
          <t>ai_system</t>
        </is>
      </c>
    </row>
    <row r="27" ht="15" customHeight="1" s="15">
      <c r="A27" s="19" t="inlineStr">
        <is>
          <t>E023</t>
        </is>
      </c>
      <c r="B27" s="19" t="inlineStr">
        <is>
          <t>DS-MACRO-FEED</t>
        </is>
      </c>
      <c r="C27" s="19" t="inlineStr">
        <is>
          <t>SYS-009</t>
        </is>
      </c>
      <c r="D27" s="19" t="inlineStr">
        <is>
          <t>feeds</t>
        </is>
      </c>
      <c r="E27" s="19" t="inlineStr">
        <is>
          <t>data_source</t>
        </is>
      </c>
      <c r="F27" s="19" t="inlineStr">
        <is>
          <t>ai_system</t>
        </is>
      </c>
    </row>
    <row r="28" ht="15" customHeight="1" s="15">
      <c r="A28" s="19" t="inlineStr">
        <is>
          <t>E024</t>
        </is>
      </c>
      <c r="B28" s="19" t="inlineStr">
        <is>
          <t>DS-CALL-REC</t>
        </is>
      </c>
      <c r="C28" s="19" t="inlineStr">
        <is>
          <t>SYS-010</t>
        </is>
      </c>
      <c r="D28" s="19" t="inlineStr">
        <is>
          <t>feeds</t>
        </is>
      </c>
      <c r="E28" s="19" t="inlineStr">
        <is>
          <t>data_source</t>
        </is>
      </c>
      <c r="F28" s="19" t="inlineStr">
        <is>
          <t>ai_system</t>
        </is>
      </c>
    </row>
    <row r="29" ht="15" customHeight="1" s="15">
      <c r="A29" s="19" t="inlineStr">
        <is>
          <t>E025</t>
        </is>
      </c>
      <c r="B29" s="19" t="inlineStr">
        <is>
          <t>DS-CUST-MASTER</t>
        </is>
      </c>
      <c r="C29" s="19" t="inlineStr">
        <is>
          <t>SYS-010</t>
        </is>
      </c>
      <c r="D29" s="19" t="inlineStr">
        <is>
          <t>feeds</t>
        </is>
      </c>
      <c r="E29" s="19" t="inlineStr">
        <is>
          <t>data_source</t>
        </is>
      </c>
      <c r="F29" s="19" t="inlineStr">
        <is>
          <t>ai_system</t>
        </is>
      </c>
    </row>
    <row r="30" ht="15" customHeight="1" s="15">
      <c r="A30" s="19" t="inlineStr">
        <is>
          <t>E026</t>
        </is>
      </c>
      <c r="B30" s="19" t="inlineStr">
        <is>
          <t>DS-TXN-CORE</t>
        </is>
      </c>
      <c r="C30" s="19" t="inlineStr">
        <is>
          <t>SYS-011</t>
        </is>
      </c>
      <c r="D30" s="19" t="inlineStr">
        <is>
          <t>feeds</t>
        </is>
      </c>
      <c r="E30" s="19" t="inlineStr">
        <is>
          <t>data_source</t>
        </is>
      </c>
      <c r="F30" s="19" t="inlineStr">
        <is>
          <t>ai_system</t>
        </is>
      </c>
    </row>
    <row r="31" ht="15" customHeight="1" s="15">
      <c r="A31" s="19" t="inlineStr">
        <is>
          <t>E027</t>
        </is>
      </c>
      <c r="B31" s="19" t="inlineStr">
        <is>
          <t>DS-CUST-MASTER</t>
        </is>
      </c>
      <c r="C31" s="19" t="inlineStr">
        <is>
          <t>SYS-011</t>
        </is>
      </c>
      <c r="D31" s="19" t="inlineStr">
        <is>
          <t>feeds</t>
        </is>
      </c>
      <c r="E31" s="19" t="inlineStr">
        <is>
          <t>data_source</t>
        </is>
      </c>
      <c r="F31" s="19" t="inlineStr">
        <is>
          <t>ai_system</t>
        </is>
      </c>
    </row>
    <row r="32" ht="23.25" customHeight="1" s="15">
      <c r="A32" s="19" t="inlineStr">
        <is>
          <t>E028</t>
        </is>
      </c>
      <c r="B32" s="19" t="inlineStr">
        <is>
          <t>DS-COLLECTION-LOG</t>
        </is>
      </c>
      <c r="C32" s="19" t="inlineStr">
        <is>
          <t>SYS-011</t>
        </is>
      </c>
      <c r="D32" s="19" t="inlineStr">
        <is>
          <t>feeds</t>
        </is>
      </c>
      <c r="E32" s="19" t="inlineStr">
        <is>
          <t>data_source</t>
        </is>
      </c>
      <c r="F32" s="19" t="inlineStr">
        <is>
          <t>ai_system</t>
        </is>
      </c>
    </row>
    <row r="33" ht="15" customHeight="1" s="15">
      <c r="A33" s="19" t="inlineStr">
        <is>
          <t>E029</t>
        </is>
      </c>
      <c r="B33" s="19" t="inlineStr">
        <is>
          <t>DS-HR-APPLICANT</t>
        </is>
      </c>
      <c r="C33" s="19" t="inlineStr">
        <is>
          <t>SYS-012</t>
        </is>
      </c>
      <c r="D33" s="19" t="inlineStr">
        <is>
          <t>feeds</t>
        </is>
      </c>
      <c r="E33" s="19" t="inlineStr">
        <is>
          <t>data_source</t>
        </is>
      </c>
      <c r="F33" s="19" t="inlineStr">
        <is>
          <t>ai_system</t>
        </is>
      </c>
    </row>
    <row r="34" ht="15" customHeight="1" s="15">
      <c r="A34" s="19" t="inlineStr">
        <is>
          <t>E030</t>
        </is>
      </c>
      <c r="B34" s="19" t="inlineStr">
        <is>
          <t>SYS-001</t>
        </is>
      </c>
      <c r="C34" s="19" t="inlineStr">
        <is>
          <t>CONS-LOAN-ORIG</t>
        </is>
      </c>
      <c r="D34" s="19" t="inlineStr">
        <is>
          <t>consumed_by</t>
        </is>
      </c>
      <c r="E34" s="19" t="inlineStr">
        <is>
          <t>ai_system</t>
        </is>
      </c>
      <c r="F34" s="19" t="inlineStr">
        <is>
          <t>consumer</t>
        </is>
      </c>
    </row>
    <row r="35" ht="23.25" customHeight="1" s="15">
      <c r="A35" s="19" t="inlineStr">
        <is>
          <t>E031</t>
        </is>
      </c>
      <c r="B35" s="19" t="inlineStr">
        <is>
          <t>SYS-002</t>
        </is>
      </c>
      <c r="C35" s="19" t="inlineStr">
        <is>
          <t>CONS-FRAUD-CASE</t>
        </is>
      </c>
      <c r="D35" s="19" t="inlineStr">
        <is>
          <t>consumed_by</t>
        </is>
      </c>
      <c r="E35" s="19" t="inlineStr">
        <is>
          <t>ai_system</t>
        </is>
      </c>
      <c r="F35" s="19" t="inlineStr">
        <is>
          <t>consumer</t>
        </is>
      </c>
    </row>
    <row r="36" ht="15" customHeight="1" s="15">
      <c r="A36" s="19" t="inlineStr">
        <is>
          <t>E032</t>
        </is>
      </c>
      <c r="B36" s="19" t="inlineStr">
        <is>
          <t>SYS-003</t>
        </is>
      </c>
      <c r="C36" s="19" t="inlineStr">
        <is>
          <t>CONS-AML-CASE</t>
        </is>
      </c>
      <c r="D36" s="19" t="inlineStr">
        <is>
          <t>consumed_by</t>
        </is>
      </c>
      <c r="E36" s="19" t="inlineStr">
        <is>
          <t>ai_system</t>
        </is>
      </c>
      <c r="F36" s="19" t="inlineStr">
        <is>
          <t>consumer</t>
        </is>
      </c>
    </row>
    <row r="37" ht="23.25" customHeight="1" s="15">
      <c r="A37" s="19" t="inlineStr">
        <is>
          <t>E033</t>
        </is>
      </c>
      <c r="B37" s="19" t="inlineStr">
        <is>
          <t>SYS-004</t>
        </is>
      </c>
      <c r="C37" s="19" t="inlineStr">
        <is>
          <t>CONS-ONBOARDING-WF</t>
        </is>
      </c>
      <c r="D37" s="19" t="inlineStr">
        <is>
          <t>consumed_by</t>
        </is>
      </c>
      <c r="E37" s="19" t="inlineStr">
        <is>
          <t>ai_system</t>
        </is>
      </c>
      <c r="F37" s="19" t="inlineStr">
        <is>
          <t>consumer</t>
        </is>
      </c>
    </row>
    <row r="38" ht="15" customHeight="1" s="15">
      <c r="A38" s="19" t="inlineStr">
        <is>
          <t>E034</t>
        </is>
      </c>
      <c r="B38" s="19" t="inlineStr">
        <is>
          <t>SYS-005</t>
        </is>
      </c>
      <c r="C38" s="19" t="inlineStr">
        <is>
          <t>CONS-CRM</t>
        </is>
      </c>
      <c r="D38" s="19" t="inlineStr">
        <is>
          <t>consumed_by</t>
        </is>
      </c>
      <c r="E38" s="19" t="inlineStr">
        <is>
          <t>ai_system</t>
        </is>
      </c>
      <c r="F38" s="19" t="inlineStr">
        <is>
          <t>consumer</t>
        </is>
      </c>
    </row>
    <row r="39" ht="23.25" customHeight="1" s="15">
      <c r="A39" s="19" t="inlineStr">
        <is>
          <t>E035</t>
        </is>
      </c>
      <c r="B39" s="19" t="inlineStr">
        <is>
          <t>SYS-006</t>
        </is>
      </c>
      <c r="C39" s="19" t="inlineStr">
        <is>
          <t>CONS-CAMPAIGN-MGR</t>
        </is>
      </c>
      <c r="D39" s="19" t="inlineStr">
        <is>
          <t>consumed_by</t>
        </is>
      </c>
      <c r="E39" s="19" t="inlineStr">
        <is>
          <t>ai_system</t>
        </is>
      </c>
      <c r="F39" s="19" t="inlineStr">
        <is>
          <t>consumer</t>
        </is>
      </c>
    </row>
    <row r="40" ht="23.25" customHeight="1" s="15">
      <c r="A40" s="19" t="inlineStr">
        <is>
          <t>E036</t>
        </is>
      </c>
      <c r="B40" s="19" t="inlineStr">
        <is>
          <t>SYS-007</t>
        </is>
      </c>
      <c r="C40" s="19" t="inlineStr">
        <is>
          <t>CONS-RISK-DASHBOARD</t>
        </is>
      </c>
      <c r="D40" s="19" t="inlineStr">
        <is>
          <t>consumed_by</t>
        </is>
      </c>
      <c r="E40" s="19" t="inlineStr">
        <is>
          <t>ai_system</t>
        </is>
      </c>
      <c r="F40" s="19" t="inlineStr">
        <is>
          <t>consumer</t>
        </is>
      </c>
    </row>
    <row r="41" ht="23.25" customHeight="1" s="15">
      <c r="A41" s="19" t="inlineStr">
        <is>
          <t>E037</t>
        </is>
      </c>
      <c r="B41" s="19" t="inlineStr">
        <is>
          <t>SYS-008</t>
        </is>
      </c>
      <c r="C41" s="19" t="inlineStr">
        <is>
          <t>CONS-CAMPAIGN-MGR</t>
        </is>
      </c>
      <c r="D41" s="19" t="inlineStr">
        <is>
          <t>consumed_by</t>
        </is>
      </c>
      <c r="E41" s="19" t="inlineStr">
        <is>
          <t>ai_system</t>
        </is>
      </c>
      <c r="F41" s="19" t="inlineStr">
        <is>
          <t>consumer</t>
        </is>
      </c>
    </row>
    <row r="42" ht="23.25" customHeight="1" s="15">
      <c r="A42" s="19" t="inlineStr">
        <is>
          <t>E038</t>
        </is>
      </c>
      <c r="B42" s="19" t="inlineStr">
        <is>
          <t>SYS-009</t>
        </is>
      </c>
      <c r="C42" s="19" t="inlineStr">
        <is>
          <t>CONS-CASH-PLANNER</t>
        </is>
      </c>
      <c r="D42" s="19" t="inlineStr">
        <is>
          <t>consumed_by</t>
        </is>
      </c>
      <c r="E42" s="19" t="inlineStr">
        <is>
          <t>ai_system</t>
        </is>
      </c>
      <c r="F42" s="19" t="inlineStr">
        <is>
          <t>consumer</t>
        </is>
      </c>
    </row>
    <row r="43" ht="23.25" customHeight="1" s="15">
      <c r="A43" s="19" t="inlineStr">
        <is>
          <t>E039</t>
        </is>
      </c>
      <c r="B43" s="19" t="inlineStr">
        <is>
          <t>SYS-011</t>
        </is>
      </c>
      <c r="C43" s="19" t="inlineStr">
        <is>
          <t>CONS-COLLECTIONS-WF</t>
        </is>
      </c>
      <c r="D43" s="19" t="inlineStr">
        <is>
          <t>consumed_by</t>
        </is>
      </c>
      <c r="E43" s="19" t="inlineStr">
        <is>
          <t>ai_system</t>
        </is>
      </c>
      <c r="F43" s="19" t="inlineStr">
        <is>
          <t>consumer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4" min="1" max="1"/>
    <col width="22" customWidth="1" style="14" min="2" max="2"/>
    <col width="10" customWidth="1" style="14" min="3" max="3"/>
    <col width="11" customWidth="1" style="14" min="4" max="4"/>
    <col width="9" customWidth="1" style="14" min="5" max="5"/>
    <col width="11" customWidth="1" style="14" min="6" max="7"/>
    <col width="10" customWidth="1" style="14" min="8" max="8"/>
    <col width="13" customWidth="1" style="14" min="9" max="9"/>
  </cols>
  <sheetData>
    <row r="1" ht="15.75" customHeight="1" s="15">
      <c r="A1" s="16" t="inlineStr">
        <is>
          <t>Compliance Gap Summary  (live — recomputes from Inventory)</t>
        </is>
      </c>
    </row>
    <row r="2" ht="15" customHeight="1" s="15">
      <c r="A2" s="17" t="inlineStr">
        <is>
          <t>Reference date drives the stale-audit test. Gap logic: lineage≠complete, DQ=absent, steward=unassigned, or audit older than the staleness window.</t>
        </is>
      </c>
    </row>
    <row r="3" ht="15" customHeight="1" s="15">
      <c r="A3" s="22" t="inlineStr">
        <is>
          <t>Reference date:</t>
        </is>
      </c>
      <c r="B3" s="23" t="n">
        <v>46243</v>
      </c>
      <c r="C3" s="22" t="inlineStr">
        <is>
          <t>Stale window (days):</t>
        </is>
      </c>
      <c r="D3" s="24" t="n">
        <v>180</v>
      </c>
    </row>
    <row r="5" ht="23.25" customHeight="1" s="15">
      <c r="A5" s="18" t="inlineStr">
        <is>
          <t>SYS_ID</t>
        </is>
      </c>
      <c r="B5" s="18" t="inlineStr">
        <is>
          <t>System_Name</t>
        </is>
      </c>
      <c r="C5" s="18" t="inlineStr">
        <is>
          <t>Risk_Level</t>
        </is>
      </c>
      <c r="D5" s="18" t="inlineStr">
        <is>
          <t>Lineage_Gap</t>
        </is>
      </c>
      <c r="E5" s="18" t="inlineStr">
        <is>
          <t>DQ_Gap</t>
        </is>
      </c>
      <c r="F5" s="18" t="inlineStr">
        <is>
          <t>Steward_Gap</t>
        </is>
      </c>
      <c r="G5" s="18" t="inlineStr">
        <is>
          <t>Stale_Audit</t>
        </is>
      </c>
      <c r="H5" s="18" t="inlineStr">
        <is>
          <t>Total_Gaps</t>
        </is>
      </c>
      <c r="I5" s="18" t="inlineStr">
        <is>
          <t>Priority</t>
        </is>
      </c>
    </row>
    <row r="6" ht="15" customHeight="1" s="15">
      <c r="A6" s="19">
        <f>Inventory!A5</f>
        <v/>
      </c>
      <c r="B6" s="19">
        <f>Inventory!B5</f>
        <v/>
      </c>
      <c r="C6" s="19">
        <f>Inventory!G5</f>
        <v/>
      </c>
      <c r="D6" s="19">
        <f>IF(Inventory!N5&lt;&gt;"complete","GAP","")</f>
        <v/>
      </c>
      <c r="E6" s="19">
        <f>IF(Inventory!O5="absent","GAP","")</f>
        <v/>
      </c>
      <c r="F6" s="19">
        <f>IF(Inventory!K5="unassigned","GAP","")</f>
        <v/>
      </c>
      <c r="G6" s="19">
        <f>IF(($B$3-Inventory!M5)&gt;$D$3,"STALE","")</f>
        <v/>
      </c>
      <c r="H6" s="19">
        <f>COUNTIF(D6:G6,"GAP")+COUNTIF(D6:G6,"STALE")</f>
        <v/>
      </c>
      <c r="I6" s="19">
        <f>IF(AND(C6="High",H6&gt;=2),"P1-Critical",IF(OR(C6="High",H6&gt;=2),"P2-High",IF(H6&gt;=1,"P3-Medium","P4-Low")))</f>
        <v/>
      </c>
    </row>
    <row r="7" ht="15" customHeight="1" s="15">
      <c r="A7" s="19">
        <f>Inventory!A6</f>
        <v/>
      </c>
      <c r="B7" s="19">
        <f>Inventory!B6</f>
        <v/>
      </c>
      <c r="C7" s="19">
        <f>Inventory!G6</f>
        <v/>
      </c>
      <c r="D7" s="19">
        <f>IF(Inventory!N6&lt;&gt;"complete","GAP","")</f>
        <v/>
      </c>
      <c r="E7" s="19">
        <f>IF(Inventory!O6="absent","GAP","")</f>
        <v/>
      </c>
      <c r="F7" s="19">
        <f>IF(Inventory!K6="unassigned","GAP","")</f>
        <v/>
      </c>
      <c r="G7" s="19">
        <f>IF(($B$3-Inventory!M6)&gt;$D$3,"STALE","")</f>
        <v/>
      </c>
      <c r="H7" s="19">
        <f>COUNTIF(D7:G7,"GAP")+COUNTIF(D7:G7,"STALE")</f>
        <v/>
      </c>
      <c r="I7" s="19">
        <f>IF(AND(C7="High",H7&gt;=2),"P1-Critical",IF(OR(C7="High",H7&gt;=2),"P2-High",IF(H7&gt;=1,"P3-Medium","P4-Low")))</f>
        <v/>
      </c>
    </row>
    <row r="8" ht="23.25" customHeight="1" s="15">
      <c r="A8" s="19">
        <f>Inventory!A7</f>
        <v/>
      </c>
      <c r="B8" s="19">
        <f>Inventory!B7</f>
        <v/>
      </c>
      <c r="C8" s="19">
        <f>Inventory!G7</f>
        <v/>
      </c>
      <c r="D8" s="19">
        <f>IF(Inventory!N7&lt;&gt;"complete","GAP","")</f>
        <v/>
      </c>
      <c r="E8" s="19">
        <f>IF(Inventory!O7="absent","GAP","")</f>
        <v/>
      </c>
      <c r="F8" s="19">
        <f>IF(Inventory!K7="unassigned","GAP","")</f>
        <v/>
      </c>
      <c r="G8" s="19">
        <f>IF(($B$3-Inventory!M7)&gt;$D$3,"STALE","")</f>
        <v/>
      </c>
      <c r="H8" s="19">
        <f>COUNTIF(D8:G8,"GAP")+COUNTIF(D8:G8,"STALE")</f>
        <v/>
      </c>
      <c r="I8" s="19">
        <f>IF(AND(C8="High",H8&gt;=2),"P1-Critical",IF(OR(C8="High",H8&gt;=2),"P2-High",IF(H8&gt;=1,"P3-Medium","P4-Low")))</f>
        <v/>
      </c>
    </row>
    <row r="9" ht="15" customHeight="1" s="15">
      <c r="A9" s="19">
        <f>Inventory!A8</f>
        <v/>
      </c>
      <c r="B9" s="19">
        <f>Inventory!B8</f>
        <v/>
      </c>
      <c r="C9" s="19">
        <f>Inventory!G8</f>
        <v/>
      </c>
      <c r="D9" s="19">
        <f>IF(Inventory!N8&lt;&gt;"complete","GAP","")</f>
        <v/>
      </c>
      <c r="E9" s="19">
        <f>IF(Inventory!O8="absent","GAP","")</f>
        <v/>
      </c>
      <c r="F9" s="19">
        <f>IF(Inventory!K8="unassigned","GAP","")</f>
        <v/>
      </c>
      <c r="G9" s="19">
        <f>IF(($B$3-Inventory!M8)&gt;$D$3,"STALE","")</f>
        <v/>
      </c>
      <c r="H9" s="19">
        <f>COUNTIF(D9:G9,"GAP")+COUNTIF(D9:G9,"STALE")</f>
        <v/>
      </c>
      <c r="I9" s="19">
        <f>IF(AND(C9="High",H9&gt;=2),"P1-Critical",IF(OR(C9="High",H9&gt;=2),"P2-High",IF(H9&gt;=1,"P3-Medium","P4-Low")))</f>
        <v/>
      </c>
    </row>
    <row r="10" ht="15" customHeight="1" s="15">
      <c r="A10" s="19">
        <f>Inventory!A9</f>
        <v/>
      </c>
      <c r="B10" s="19">
        <f>Inventory!B9</f>
        <v/>
      </c>
      <c r="C10" s="19">
        <f>Inventory!G9</f>
        <v/>
      </c>
      <c r="D10" s="19">
        <f>IF(Inventory!N9&lt;&gt;"complete","GAP","")</f>
        <v/>
      </c>
      <c r="E10" s="19">
        <f>IF(Inventory!O9="absent","GAP","")</f>
        <v/>
      </c>
      <c r="F10" s="19">
        <f>IF(Inventory!K9="unassigned","GAP","")</f>
        <v/>
      </c>
      <c r="G10" s="19">
        <f>IF(($B$3-Inventory!M9)&gt;$D$3,"STALE","")</f>
        <v/>
      </c>
      <c r="H10" s="19">
        <f>COUNTIF(D10:G10,"GAP")+COUNTIF(D10:G10,"STALE")</f>
        <v/>
      </c>
      <c r="I10" s="19">
        <f>IF(AND(C10="High",H10&gt;=2),"P1-Critical",IF(OR(C10="High",H10&gt;=2),"P2-High",IF(H10&gt;=1,"P3-Medium","P4-Low")))</f>
        <v/>
      </c>
    </row>
    <row r="11" ht="15" customHeight="1" s="15">
      <c r="A11" s="19">
        <f>Inventory!A10</f>
        <v/>
      </c>
      <c r="B11" s="19">
        <f>Inventory!B10</f>
        <v/>
      </c>
      <c r="C11" s="19">
        <f>Inventory!G10</f>
        <v/>
      </c>
      <c r="D11" s="19">
        <f>IF(Inventory!N10&lt;&gt;"complete","GAP","")</f>
        <v/>
      </c>
      <c r="E11" s="19">
        <f>IF(Inventory!O10="absent","GAP","")</f>
        <v/>
      </c>
      <c r="F11" s="19">
        <f>IF(Inventory!K10="unassigned","GAP","")</f>
        <v/>
      </c>
      <c r="G11" s="19">
        <f>IF(($B$3-Inventory!M10)&gt;$D$3,"STALE","")</f>
        <v/>
      </c>
      <c r="H11" s="19">
        <f>COUNTIF(D11:G11,"GAP")+COUNTIF(D11:G11,"STALE")</f>
        <v/>
      </c>
      <c r="I11" s="19">
        <f>IF(AND(C11="High",H11&gt;=2),"P1-Critical",IF(OR(C11="High",H11&gt;=2),"P2-High",IF(H11&gt;=1,"P3-Medium","P4-Low")))</f>
        <v/>
      </c>
    </row>
    <row r="12" ht="23.25" customHeight="1" s="15">
      <c r="A12" s="19">
        <f>Inventory!A11</f>
        <v/>
      </c>
      <c r="B12" s="19">
        <f>Inventory!B11</f>
        <v/>
      </c>
      <c r="C12" s="19">
        <f>Inventory!G11</f>
        <v/>
      </c>
      <c r="D12" s="19">
        <f>IF(Inventory!N11&lt;&gt;"complete","GAP","")</f>
        <v/>
      </c>
      <c r="E12" s="19">
        <f>IF(Inventory!O11="absent","GAP","")</f>
        <v/>
      </c>
      <c r="F12" s="19">
        <f>IF(Inventory!K11="unassigned","GAP","")</f>
        <v/>
      </c>
      <c r="G12" s="19">
        <f>IF(($B$3-Inventory!M11)&gt;$D$3,"STALE","")</f>
        <v/>
      </c>
      <c r="H12" s="19">
        <f>COUNTIF(D12:G12,"GAP")+COUNTIF(D12:G12,"STALE")</f>
        <v/>
      </c>
      <c r="I12" s="19">
        <f>IF(AND(C12="High",H12&gt;=2),"P1-Critical",IF(OR(C12="High",H12&gt;=2),"P2-High",IF(H12&gt;=1,"P3-Medium","P4-Low")))</f>
        <v/>
      </c>
    </row>
    <row r="13" ht="23.25" customHeight="1" s="15">
      <c r="A13" s="19">
        <f>Inventory!A12</f>
        <v/>
      </c>
      <c r="B13" s="19">
        <f>Inventory!B12</f>
        <v/>
      </c>
      <c r="C13" s="19">
        <f>Inventory!G12</f>
        <v/>
      </c>
      <c r="D13" s="19">
        <f>IF(Inventory!N12&lt;&gt;"complete","GAP","")</f>
        <v/>
      </c>
      <c r="E13" s="19">
        <f>IF(Inventory!O12="absent","GAP","")</f>
        <v/>
      </c>
      <c r="F13" s="19">
        <f>IF(Inventory!K12="unassigned","GAP","")</f>
        <v/>
      </c>
      <c r="G13" s="19">
        <f>IF(($B$3-Inventory!M12)&gt;$D$3,"STALE","")</f>
        <v/>
      </c>
      <c r="H13" s="19">
        <f>COUNTIF(D13:G13,"GAP")+COUNTIF(D13:G13,"STALE")</f>
        <v/>
      </c>
      <c r="I13" s="19">
        <f>IF(AND(C13="High",H13&gt;=2),"P1-Critical",IF(OR(C13="High",H13&gt;=2),"P2-High",IF(H13&gt;=1,"P3-Medium","P4-Low")))</f>
        <v/>
      </c>
    </row>
    <row r="14" ht="23.25" customHeight="1" s="15">
      <c r="A14" s="19">
        <f>Inventory!A13</f>
        <v/>
      </c>
      <c r="B14" s="19">
        <f>Inventory!B13</f>
        <v/>
      </c>
      <c r="C14" s="19">
        <f>Inventory!G13</f>
        <v/>
      </c>
      <c r="D14" s="19">
        <f>IF(Inventory!N13&lt;&gt;"complete","GAP","")</f>
        <v/>
      </c>
      <c r="E14" s="19">
        <f>IF(Inventory!O13="absent","GAP","")</f>
        <v/>
      </c>
      <c r="F14" s="19">
        <f>IF(Inventory!K13="unassigned","GAP","")</f>
        <v/>
      </c>
      <c r="G14" s="19">
        <f>IF(($B$3-Inventory!M13)&gt;$D$3,"STALE","")</f>
        <v/>
      </c>
      <c r="H14" s="19">
        <f>COUNTIF(D14:G14,"GAP")+COUNTIF(D14:G14,"STALE")</f>
        <v/>
      </c>
      <c r="I14" s="19">
        <f>IF(AND(C14="High",H14&gt;=2),"P1-Critical",IF(OR(C14="High",H14&gt;=2),"P2-High",IF(H14&gt;=1,"P3-Medium","P4-Low")))</f>
        <v/>
      </c>
    </row>
    <row r="15" ht="23.25" customHeight="1" s="15">
      <c r="A15" s="19">
        <f>Inventory!A14</f>
        <v/>
      </c>
      <c r="B15" s="19">
        <f>Inventory!B14</f>
        <v/>
      </c>
      <c r="C15" s="19">
        <f>Inventory!G14</f>
        <v/>
      </c>
      <c r="D15" s="19">
        <f>IF(Inventory!N14&lt;&gt;"complete","GAP","")</f>
        <v/>
      </c>
      <c r="E15" s="19">
        <f>IF(Inventory!O14="absent","GAP","")</f>
        <v/>
      </c>
      <c r="F15" s="19">
        <f>IF(Inventory!K14="unassigned","GAP","")</f>
        <v/>
      </c>
      <c r="G15" s="19">
        <f>IF(($B$3-Inventory!M14)&gt;$D$3,"STALE","")</f>
        <v/>
      </c>
      <c r="H15" s="19">
        <f>COUNTIF(D15:G15,"GAP")+COUNTIF(D15:G15,"STALE")</f>
        <v/>
      </c>
      <c r="I15" s="19">
        <f>IF(AND(C15="High",H15&gt;=2),"P1-Critical",IF(OR(C15="High",H15&gt;=2),"P2-High",IF(H15&gt;=1,"P3-Medium","P4-Low")))</f>
        <v/>
      </c>
    </row>
    <row r="16" ht="15" customHeight="1" s="15">
      <c r="A16" s="19">
        <f>Inventory!A15</f>
        <v/>
      </c>
      <c r="B16" s="19">
        <f>Inventory!B15</f>
        <v/>
      </c>
      <c r="C16" s="19">
        <f>Inventory!G15</f>
        <v/>
      </c>
      <c r="D16" s="19">
        <f>IF(Inventory!N15&lt;&gt;"complete","GAP","")</f>
        <v/>
      </c>
      <c r="E16" s="19">
        <f>IF(Inventory!O15="absent","GAP","")</f>
        <v/>
      </c>
      <c r="F16" s="19">
        <f>IF(Inventory!K15="unassigned","GAP","")</f>
        <v/>
      </c>
      <c r="G16" s="19">
        <f>IF(($B$3-Inventory!M15)&gt;$D$3,"STALE","")</f>
        <v/>
      </c>
      <c r="H16" s="19">
        <f>COUNTIF(D16:G16,"GAP")+COUNTIF(D16:G16,"STALE")</f>
        <v/>
      </c>
      <c r="I16" s="19">
        <f>IF(AND(C16="High",H16&gt;=2),"P1-Critical",IF(OR(C16="High",H16&gt;=2),"P2-High",IF(H16&gt;=1,"P3-Medium","P4-Low")))</f>
        <v/>
      </c>
    </row>
    <row r="17" ht="15" customHeight="1" s="15">
      <c r="A17" s="19">
        <f>Inventory!A16</f>
        <v/>
      </c>
      <c r="B17" s="19">
        <f>Inventory!B16</f>
        <v/>
      </c>
      <c r="C17" s="19">
        <f>Inventory!G16</f>
        <v/>
      </c>
      <c r="D17" s="19">
        <f>IF(Inventory!N16&lt;&gt;"complete","GAP","")</f>
        <v/>
      </c>
      <c r="E17" s="19">
        <f>IF(Inventory!O16="absent","GAP","")</f>
        <v/>
      </c>
      <c r="F17" s="19">
        <f>IF(Inventory!K16="unassigned","GAP","")</f>
        <v/>
      </c>
      <c r="G17" s="19">
        <f>IF(($B$3-Inventory!M16)&gt;$D$3,"STALE","")</f>
        <v/>
      </c>
      <c r="H17" s="19">
        <f>COUNTIF(D17:G17,"GAP")+COUNTIF(D17:G17,"STALE")</f>
        <v/>
      </c>
      <c r="I17" s="19">
        <f>IF(AND(C17="High",H17&gt;=2),"P1-Critical",IF(OR(C17="High",H17&gt;=2),"P2-High",IF(H17&gt;=1,"P3-Medium","P4-Low")))</f>
        <v/>
      </c>
    </row>
    <row r="19" ht="15" customHeight="1" s="15">
      <c r="A19" s="25" t="inlineStr">
        <is>
          <t>Portfolio summary</t>
        </is>
      </c>
    </row>
    <row r="20" ht="15" customHeight="1" s="15">
      <c r="A20" s="26" t="inlineStr">
        <is>
          <t>Systems in inventory</t>
        </is>
      </c>
      <c r="B20" s="27">
        <f>COUNTA(A6:A17)</f>
        <v/>
      </c>
    </row>
    <row r="21" ht="15" customHeight="1" s="15">
      <c r="A21" s="26" t="inlineStr">
        <is>
          <t>P1-Critical</t>
        </is>
      </c>
      <c r="B21" s="27">
        <f>COUNTIF(I6:I17,"P1-Critical")</f>
        <v/>
      </c>
    </row>
    <row r="22" ht="15" customHeight="1" s="15">
      <c r="A22" s="26" t="inlineStr">
        <is>
          <t>P2-High</t>
        </is>
      </c>
      <c r="B22" s="27">
        <f>COUNTIF(I6:I17,"P2-High")</f>
        <v/>
      </c>
    </row>
    <row r="23" ht="15" customHeight="1" s="15">
      <c r="A23" s="26" t="inlineStr">
        <is>
          <t>Systems with &gt;=1 gap</t>
        </is>
      </c>
      <c r="B23" s="27">
        <f>COUNTIF(H6:H17,"&gt;=1")</f>
        <v/>
      </c>
    </row>
    <row r="24" ht="15" customHeight="1" s="15">
      <c r="A24" s="26" t="inlineStr">
        <is>
          <t>Lineage gaps</t>
        </is>
      </c>
      <c r="B24" s="27">
        <f>COUNTIF(D6:D17,"GAP")</f>
        <v/>
      </c>
    </row>
    <row r="25" ht="15" customHeight="1" s="15">
      <c r="A25" s="26" t="inlineStr">
        <is>
          <t>DQ gaps</t>
        </is>
      </c>
      <c r="B25" s="27">
        <f>COUNTIF(E6:E17,"GAP")</f>
        <v/>
      </c>
    </row>
    <row r="26" ht="15" customHeight="1" s="15">
      <c r="A26" s="26" t="inlineStr">
        <is>
          <t>Stewardship gaps</t>
        </is>
      </c>
      <c r="B26" s="27">
        <f>COUNTIF(F6:F17,"GAP")</f>
        <v/>
      </c>
    </row>
    <row r="27" ht="15" customHeight="1" s="15">
      <c r="A27" s="26" t="inlineStr">
        <is>
          <t>Stale audits</t>
        </is>
      </c>
      <c r="B27" s="27">
        <f>COUNTIF(G6:G17,"STALE")</f>
        <v/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4" min="1" max="1"/>
    <col width="60" customWidth="1" style="14" min="2" max="2"/>
    <col width="34" customWidth="1" style="14" min="3" max="3"/>
  </cols>
  <sheetData>
    <row r="1" ht="15.75" customHeight="1" s="15">
      <c r="A1" s="16" t="inlineStr">
        <is>
          <t>Data Dictionary &amp; Tag Vocabulary</t>
        </is>
      </c>
    </row>
    <row r="2"/>
    <row r="3" ht="15" customHeight="1" s="15">
      <c r="A3" s="18" t="inlineStr">
        <is>
          <t>Sheet / Field</t>
        </is>
      </c>
      <c r="B3" s="18" t="inlineStr">
        <is>
          <t>Meaning</t>
        </is>
      </c>
      <c r="C3" s="18" t="inlineStr">
        <is>
          <t>Allowed values</t>
        </is>
      </c>
    </row>
    <row r="4" ht="15" customHeight="1" s="15">
      <c r="A4" s="19" t="inlineStr">
        <is>
          <t>Inventory.SYS_ID</t>
        </is>
      </c>
      <c r="B4" s="19" t="inlineStr">
        <is>
          <t>Unique system identifier; key for RAG corpus indexing (Layer 5).</t>
        </is>
      </c>
      <c r="C4" s="19" t="inlineStr">
        <is>
          <t>SYS-NNN</t>
        </is>
      </c>
    </row>
    <row r="5" ht="15" customHeight="1" s="15">
      <c r="A5" s="19" t="inlineStr">
        <is>
          <t>Inventory.Data_Inputs</t>
        </is>
      </c>
      <c r="B5" s="19" t="inlineStr">
        <is>
          <t>Named source IDs feeding the system; basis of structural lineage.</t>
        </is>
      </c>
      <c r="C5" s="19" t="inlineStr">
        <is>
          <t>Semicolon list of DS-* IDs</t>
        </is>
      </c>
    </row>
    <row r="6" ht="23.25" customHeight="1" s="15">
      <c r="A6" s="19" t="inlineStr">
        <is>
          <t>Inventory.Automated_Decision</t>
        </is>
      </c>
      <c r="B6" s="19" t="inlineStr">
        <is>
          <t>Whether the system makes or substantially drives automated decisions. Control trigger.</t>
        </is>
      </c>
      <c r="C6" s="19" t="inlineStr">
        <is>
          <t>Y / N</t>
        </is>
      </c>
    </row>
    <row r="7" ht="15" customHeight="1" s="15">
      <c r="A7" s="19" t="inlineStr">
        <is>
          <t>Inventory.Personal_Data</t>
        </is>
      </c>
      <c r="B7" s="19" t="inlineStr">
        <is>
          <t>Whether personal data (KVKK/GDPR) is processed. Control trigger.</t>
        </is>
      </c>
      <c r="C7" s="19" t="inlineStr">
        <is>
          <t>Y / N</t>
        </is>
      </c>
    </row>
    <row r="8" ht="15" customHeight="1" s="15">
      <c r="A8" s="19" t="inlineStr">
        <is>
          <t>Inventory.Risk_Level</t>
        </is>
      </c>
      <c r="B8" s="19" t="inlineStr">
        <is>
          <t>Assessed risk level; drives monitoring depth. Control trigger.</t>
        </is>
      </c>
      <c r="C8" s="19" t="inlineStr">
        <is>
          <t>Low / Medium / High</t>
        </is>
      </c>
    </row>
    <row r="9" ht="15" customHeight="1" s="15">
      <c r="A9" s="19" t="inlineStr">
        <is>
          <t>Inventory.Steward_Status</t>
        </is>
      </c>
      <c r="B9" s="19" t="inlineStr">
        <is>
          <t>DAMA Data Governance tag: is a data steward formally assigned?</t>
        </is>
      </c>
      <c r="C9" s="19" t="inlineStr">
        <is>
          <t>assigned / de_facto / unassigned</t>
        </is>
      </c>
    </row>
    <row r="10" ht="15" customHeight="1" s="15">
      <c r="A10" s="19" t="inlineStr">
        <is>
          <t>Inventory.Lineage_Status</t>
        </is>
      </c>
      <c r="B10" s="19" t="inlineStr">
        <is>
          <t>DAMA Metadata Management tag: completeness of documented lineage.</t>
        </is>
      </c>
      <c r="C10" s="19" t="inlineStr">
        <is>
          <t>complete / partial / absent</t>
        </is>
      </c>
    </row>
    <row r="11" ht="23.25" customHeight="1" s="15">
      <c r="A11" s="19" t="inlineStr">
        <is>
          <t>Inventory.DQ_Regime</t>
        </is>
      </c>
      <c r="B11" s="19" t="inlineStr">
        <is>
          <t>DAMA Data Quality tag: presence of a data-quality regime for the system's inputs.</t>
        </is>
      </c>
      <c r="C11" s="19" t="inlineStr">
        <is>
          <t>present / absent</t>
        </is>
      </c>
    </row>
    <row r="12" ht="15" customHeight="1" s="15">
      <c r="A12" s="19" t="inlineStr">
        <is>
          <t>Inventory.Last_Audit_Date</t>
        </is>
      </c>
      <c r="B12" s="19" t="inlineStr">
        <is>
          <t>Date of most recent review; feeds the stale-audit test.</t>
        </is>
      </c>
      <c r="C12" s="19" t="inlineStr">
        <is>
          <t>ISO 8601 date</t>
        </is>
      </c>
    </row>
    <row r="13" ht="15" customHeight="1" s="15">
      <c r="A13" s="19" t="inlineStr">
        <is>
          <t>Data_Sources.DQ_Regime</t>
        </is>
      </c>
      <c r="B13" s="19" t="inlineStr">
        <is>
          <t>Whether the source has a documented data-quality regime.</t>
        </is>
      </c>
      <c r="C13" s="19" t="inlineStr">
        <is>
          <t>present / absent</t>
        </is>
      </c>
    </row>
    <row r="14" ht="15" customHeight="1" s="15">
      <c r="A14" s="19" t="inlineStr">
        <is>
          <t>Lineage_Edges.Edge_Type</t>
        </is>
      </c>
      <c r="B14" s="19" t="inlineStr">
        <is>
          <t>Direction of the lineage relationship.</t>
        </is>
      </c>
      <c r="C14" s="19" t="inlineStr">
        <is>
          <t>feeds / consumed_by</t>
        </is>
      </c>
    </row>
    <row r="15" ht="23.25" customHeight="1" s="15">
      <c r="A15" s="19" t="inlineStr">
        <is>
          <t>Gap_Summary.*_Gap</t>
        </is>
      </c>
      <c r="B15" s="19" t="inlineStr">
        <is>
          <t>Presence/absence findings. 'GAP'/'STALE' means the control evidence is missing.</t>
        </is>
      </c>
      <c r="C15" s="19" t="inlineStr">
        <is>
          <t>GAP / STALE / (blank)</t>
        </is>
      </c>
    </row>
    <row r="16" ht="15" customHeight="1" s="15">
      <c r="A16" s="19" t="inlineStr">
        <is>
          <t>Gap_Summary.Priority</t>
        </is>
      </c>
      <c r="B16" s="19" t="inlineStr">
        <is>
          <t>Derived triage from risk level and gap count.</t>
        </is>
      </c>
      <c r="C16" s="19" t="inlineStr">
        <is>
          <t>P1-Critical … P4-Low</t>
        </is>
      </c>
    </row>
    <row r="17" ht="23.25" customHeight="1" s="15">
      <c r="A17" s="19" t="inlineStr">
        <is>
          <t>Tag note</t>
        </is>
      </c>
      <c r="B17" s="19" t="inlineStr">
        <is>
          <t>Per the project's presence/absence reframing, an absent lineage, DQ, or steward record is itself a valid compliance finding, not a blocker.</t>
        </is>
      </c>
      <c r="C17" s="19" t="inlineStr">
        <is>
          <t>—</t>
        </is>
      </c>
    </row>
    <row r="18" ht="23.85" customHeight="1" s="15">
      <c r="A18" s="19" t="inlineStr">
        <is>
          <t>Inventory.Impact_Assessment</t>
        </is>
      </c>
      <c r="B18" s="19" t="inlineStr">
        <is>
          <t>Per-system attestation: has an AI system impact assessment been done? (A.5.2/5.3/5.4)</t>
        </is>
      </c>
      <c r="C18" s="19" t="inlineStr">
        <is>
          <t>Y / N / n/a</t>
        </is>
      </c>
    </row>
    <row r="19" ht="15" customHeight="1" s="15">
      <c r="A19" s="19" t="inlineStr">
        <is>
          <t>Inventory.Human_Oversight</t>
        </is>
      </c>
      <c r="B19" s="19" t="inlineStr">
        <is>
          <t>Per-system: what form of human oversight is defined? (A.9.3). Shown for every system; a response is only required where the system makes automated decisions - necessity is an organizational determination.</t>
        </is>
      </c>
      <c r="C19" s="19" t="inlineStr">
        <is>
          <t>human-in-the-loop / human-on-the-loop / none</t>
        </is>
      </c>
    </row>
    <row r="20" ht="23.85" customHeight="1" s="15">
      <c r="A20" s="19" t="inlineStr">
        <is>
          <t>Inventory.Verification_Validation</t>
        </is>
      </c>
      <c r="B20" s="19" t="inlineStr">
        <is>
          <t>Per-system: has the system been verified &amp; validated? (A.6.2.4)</t>
        </is>
      </c>
      <c r="C20" s="19" t="inlineStr">
        <is>
          <t>Y / N</t>
        </is>
      </c>
    </row>
    <row r="21" ht="15" customHeight="1" s="15">
      <c r="A21" s="19" t="inlineStr">
        <is>
          <t>Inventory.Technical_Doc</t>
        </is>
      </c>
      <c r="B21" s="19" t="inlineStr">
        <is>
          <t>Per-system: is technical documentation maintained? (A.6.2.7)</t>
        </is>
      </c>
      <c r="C21" s="19" t="inlineStr">
        <is>
          <t>Y / N</t>
        </is>
      </c>
    </row>
    <row r="22" ht="15" customHeight="1" s="15">
      <c r="A22" s="19" t="inlineStr">
        <is>
          <t>Inventory.Event_Logging</t>
        </is>
      </c>
      <c r="B22" s="19" t="inlineStr">
        <is>
          <t>Per-system: is event logging enabled? (A.6.2.8)</t>
        </is>
      </c>
      <c r="C22" s="19" t="inlineStr">
        <is>
          <t>Y / N / n/a</t>
        </is>
      </c>
    </row>
    <row r="23" ht="15" customHeight="1" s="15">
      <c r="A23" s="19" t="inlineStr">
        <is>
          <t>Inventory.Incident_Plan</t>
        </is>
      </c>
      <c r="B23" s="19" t="inlineStr">
        <is>
          <t>Per-system: is an incident-communication plan in place? (A.8.4)</t>
        </is>
      </c>
      <c r="C23" s="19" t="inlineStr">
        <is>
          <t>Y / N</t>
        </is>
      </c>
    </row>
    <row r="24" ht="15" customHeight="1" s="15">
      <c r="A24" s="19" t="inlineStr">
        <is>
          <t>Inventory.User_Transparency</t>
        </is>
      </c>
      <c r="B24" s="19" t="inlineStr">
        <is>
          <t>Per-system: is user-facing information provided? (A.8.2)</t>
        </is>
      </c>
      <c r="C24" s="19" t="inlineStr">
        <is>
          <t>Y / N / n/a</t>
        </is>
      </c>
    </row>
    <row r="25" ht="15" customHeight="1" s="15">
      <c r="A25" s="19" t="inlineStr">
        <is>
          <t>Inventory.Intended_Use_Doc</t>
        </is>
      </c>
      <c r="B25" s="19" t="inlineStr">
        <is>
          <t>Per-system: is intended use documented? (A.9.4)</t>
        </is>
      </c>
      <c r="C25" s="19" t="inlineStr">
        <is>
          <t>Y / N</t>
        </is>
      </c>
    </row>
    <row r="26" ht="23.85" customHeight="1" s="15">
      <c r="A26" s="19" t="inlineStr">
        <is>
          <t>Model note</t>
        </is>
      </c>
      <c r="B26" s="19" t="inlineStr">
        <is>
          <t>Per-system controls are judged from these attestations; org-level policy coverage is tracked separately (governance readiness), not per system.</t>
        </is>
      </c>
      <c r="C26" s="19" t="inlineStr">
        <is>
          <t>—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2026-08-09T18:11:04Z</dcterms:created>
  <dcterms:modified xmlns:dcterms="http://purl.org/dc/terms/" xmlns:xsi="http://www.w3.org/2001/XMLSchema-instance" xsi:type="dcterms:W3CDTF">2026-08-24T19:23:18Z</dcterms:modified>
  <cp:revision>0</cp:revision>
</cp:coreProperties>
</file>